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General Notes" sheetId="2" state="visible" r:id="rId2"/>
    <sheet xmlns:r="http://schemas.openxmlformats.org/officeDocument/2006/relationships" name="Summary of Bills" sheetId="3" state="visible" r:id="rId3"/>
    <sheet xmlns:r="http://schemas.openxmlformats.org/officeDocument/2006/relationships" name="Bill 1 Concrete Core" sheetId="4" state="visible" r:id="rId4"/>
    <sheet xmlns:r="http://schemas.openxmlformats.org/officeDocument/2006/relationships" name="Bill 2 External Finishes" sheetId="5" state="visible" r:id="rId5"/>
    <sheet xmlns:r="http://schemas.openxmlformats.org/officeDocument/2006/relationships" name="Bill 3 Internal Linings" sheetId="6" state="visible" r:id="rId6"/>
    <sheet xmlns:r="http://schemas.openxmlformats.org/officeDocument/2006/relationships" name="Bill 4 Doors" sheetId="7" state="visible" r:id="rId7"/>
    <sheet xmlns:r="http://schemas.openxmlformats.org/officeDocument/2006/relationships" name="Bill 5 Joinery" sheetId="8" state="visible" r:id="rId8"/>
    <sheet xmlns:r="http://schemas.openxmlformats.org/officeDocument/2006/relationships" name="Bill 6 Partitions" sheetId="9" state="visible" r:id="rId9"/>
    <sheet xmlns:r="http://schemas.openxmlformats.org/officeDocument/2006/relationships" name="Schedule A Floor Areas" sheetId="10" state="visible" r:id="rId10"/>
    <sheet xmlns:r="http://schemas.openxmlformats.org/officeDocument/2006/relationships" name="Schedule B Openings" sheetId="11" state="visible" r:id="rId11"/>
  </sheets>
  <definedNames>
    <definedName name="_xlnm.Print_Area" localSheetId="0">'Cover'!$A$1:$F$66</definedName>
    <definedName name="_xlnm.Print_Titles" localSheetId="2">'Summary of Bills'!$6:$6</definedName>
    <definedName name="_xlnm.Print_Titles" localSheetId="3">'Bill 1 Concrete Core'!$6:$6</definedName>
    <definedName name="_xlnm.Print_Area" localSheetId="3">'Bill 1 Concrete Core'!$A$1:$L$21</definedName>
    <definedName name="_xlnm.Print_Titles" localSheetId="4">'Bill 2 External Finishes'!$6:$6</definedName>
    <definedName name="_xlnm.Print_Area" localSheetId="4">'Bill 2 External Finishes'!$A$1:$L$40</definedName>
    <definedName name="_xlnm.Print_Titles" localSheetId="5">'Bill 3 Internal Linings'!$6:$6</definedName>
    <definedName name="_xlnm.Print_Area" localSheetId="5">'Bill 3 Internal Linings'!$A$1:$L$43</definedName>
    <definedName name="_xlnm.Print_Titles" localSheetId="6">'Bill 4 Doors'!$6:$6</definedName>
    <definedName name="_xlnm.Print_Area" localSheetId="6">'Bill 4 Doors'!$A$1:$L$38</definedName>
    <definedName name="_xlnm.Print_Titles" localSheetId="7">'Bill 5 Joinery'!$6:$6</definedName>
    <definedName name="_xlnm.Print_Area" localSheetId="7">'Bill 5 Joinery'!$A$1:$L$49</definedName>
    <definedName name="_xlnm.Print_Titles" localSheetId="8">'Bill 6 Partitions'!$6:$6</definedName>
    <definedName name="_xlnm.Print_Area" localSheetId="8">'Bill 6 Partitions'!$A$1:$L$52</definedName>
    <definedName name="_xlnm.Print_Titles" localSheetId="9">'Schedule A Floor Areas'!$6:$6</definedName>
    <definedName name="_xlnm.Print_Titles" localSheetId="10">'Schedule B Openings'!$6:$6</definedName>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24">
    <font>
      <name val="Calibri"/>
      <family val="2"/>
      <color theme="1"/>
      <sz val="11"/>
      <scheme val="minor"/>
    </font>
    <font>
      <b val="1"/>
      <color rgb="000E3B36"/>
      <sz val="14"/>
    </font>
    <font>
      <color rgb="00555555"/>
      <sz val="9"/>
    </font>
    <font>
      <b val="1"/>
      <color rgb="005A3B00"/>
      <sz val="8.5"/>
    </font>
    <font>
      <b val="1"/>
      <color rgb="00FFFFFF"/>
    </font>
    <font>
      <b val="1"/>
      <color rgb="005A3B00"/>
    </font>
    <font>
      <b val="1"/>
      <color rgb="00FFFFFF"/>
      <sz val="9"/>
    </font>
    <font>
      <b val="1"/>
      <color rgb="000E3B36"/>
    </font>
    <font>
      <i val="1"/>
      <color rgb="00444444"/>
      <sz val="9"/>
    </font>
    <font>
      <color rgb="00444444"/>
      <sz val="8.5"/>
    </font>
    <font/>
    <font>
      <b val="1"/>
    </font>
    <font>
      <b val="1"/>
      <color rgb="00FFFFFF"/>
      <sz val="11"/>
    </font>
    <font>
      <i val="1"/>
      <color rgb="00555555"/>
      <sz val="8.5"/>
    </font>
    <font>
      <i val="1"/>
      <sz val="9.5"/>
    </font>
    <font>
      <i val="1"/>
      <color rgb="00444444"/>
      <sz val="8.5"/>
    </font>
    <font>
      <i val="1"/>
      <color rgb="00888888"/>
      <sz val="8"/>
    </font>
    <font>
      <b val="1"/>
      <sz val="9.5"/>
    </font>
    <font>
      <b val="1"/>
      <color rgb="00444444"/>
      <sz val="8.5"/>
    </font>
    <font>
      <i val="1"/>
      <sz val="9"/>
    </font>
    <font>
      <b val="1"/>
      <color rgb="000E3B36"/>
      <sz val="9"/>
    </font>
    <font>
      <b val="1"/>
      <sz val="11"/>
    </font>
    <font>
      <b val="1"/>
      <color rgb="005A3B00"/>
      <sz val="10"/>
    </font>
    <font>
      <b val="1"/>
      <color rgb="000E3B36"/>
      <sz val="12"/>
    </font>
  </fonts>
  <fills count="8">
    <fill>
      <patternFill/>
    </fill>
    <fill>
      <patternFill patternType="gray125"/>
    </fill>
    <fill>
      <patternFill patternType="solid">
        <fgColor rgb="00FFF4DE"/>
      </patternFill>
    </fill>
    <fill>
      <patternFill patternType="solid">
        <fgColor rgb="001F8A7A"/>
      </patternFill>
    </fill>
    <fill>
      <patternFill patternType="solid">
        <fgColor rgb="000E3B36"/>
      </patternFill>
    </fill>
    <fill>
      <patternFill patternType="solid">
        <fgColor rgb="00E3F2EF"/>
      </patternFill>
    </fill>
    <fill>
      <patternFill patternType="solid">
        <fgColor rgb="00FFF2B3"/>
      </patternFill>
    </fill>
    <fill>
      <patternFill patternType="solid">
        <fgColor rgb="00EEEEEE"/>
      </patternFill>
    </fill>
  </fills>
  <borders count="8">
    <border>
      <left/>
      <right/>
      <top/>
      <bottom/>
      <diagonal/>
    </border>
    <border>
      <left style="thick">
        <color rgb="00C98A1B"/>
      </left>
    </border>
    <border>
      <left style="thin">
        <color rgb="00B7C9C5"/>
      </left>
      <right style="thin">
        <color rgb="00B7C9C5"/>
      </right>
      <top style="thin">
        <color rgb="00B7C9C5"/>
      </top>
      <bottom style="thin">
        <color rgb="00B7C9C5"/>
      </bottom>
    </border>
    <border>
      <left/>
      <right/>
      <top style="thin">
        <color rgb="00B7C9C5"/>
      </top>
      <bottom/>
      <diagonal/>
    </border>
    <border>
      <left/>
      <right style="thin">
        <color rgb="00B7C9C5"/>
      </right>
      <top style="thin">
        <color rgb="00B7C9C5"/>
      </top>
      <bottom/>
      <diagonal/>
    </border>
    <border>
      <left/>
      <right/>
      <top style="thin">
        <color rgb="00B7C9C5"/>
      </top>
      <bottom style="thin">
        <color rgb="00B7C9C5"/>
      </bottom>
      <diagonal/>
    </border>
    <border>
      <left/>
      <right style="thin">
        <color rgb="00B7C9C5"/>
      </right>
      <top style="thin">
        <color rgb="00B7C9C5"/>
      </top>
      <bottom style="thin">
        <color rgb="00B7C9C5"/>
      </bottom>
      <diagonal/>
    </border>
    <border>
      <left style="thick">
        <color rgb="00C98A1B"/>
      </left>
      <right style="thin">
        <color rgb="00B7C9C5"/>
      </right>
      <top style="thin">
        <color rgb="00B7C9C5"/>
      </top>
      <bottom style="thin">
        <color rgb="00B7C9C5"/>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0" fillId="3" borderId="0" pivotButton="0" quotePrefix="0" xfId="0"/>
    <xf numFmtId="0" fontId="3" fillId="2" borderId="1"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12" fillId="4" borderId="0" applyAlignment="1" pivotButton="0" quotePrefix="0" xfId="0">
      <alignment vertical="center"/>
    </xf>
    <xf numFmtId="0" fontId="6" fillId="4" borderId="2" applyAlignment="1" pivotButton="0" quotePrefix="0" xfId="0">
      <alignment horizontal="center" vertical="center" wrapText="1"/>
    </xf>
    <xf numFmtId="0" fontId="0" fillId="0" borderId="2" applyAlignment="1" pivotButton="0" quotePrefix="0" xfId="0">
      <alignment vertical="top" wrapText="1"/>
    </xf>
    <xf numFmtId="164" fontId="10" fillId="0" borderId="2" applyAlignment="1" pivotButton="0" quotePrefix="0" xfId="0">
      <alignment horizontal="right" vertical="top"/>
    </xf>
    <xf numFmtId="0" fontId="4" fillId="3" borderId="0" applyAlignment="1" pivotButton="0" quotePrefix="0" xfId="0">
      <alignment horizontal="right" vertical="center"/>
    </xf>
    <xf numFmtId="164" fontId="11" fillId="5" borderId="2" applyAlignment="1" pivotButton="0" quotePrefix="0" xfId="0">
      <alignment horizontal="right" vertical="top"/>
    </xf>
    <xf numFmtId="0" fontId="7" fillId="0" borderId="0" pivotButton="0" quotePrefix="0" xfId="0"/>
    <xf numFmtId="0" fontId="20" fillId="0" borderId="0" applyAlignment="1" pivotButton="0" quotePrefix="0" xfId="0">
      <alignment horizontal="right"/>
    </xf>
    <xf numFmtId="0" fontId="0" fillId="0" borderId="2" pivotButton="0" quotePrefix="0" xfId="0"/>
    <xf numFmtId="0" fontId="2" fillId="0" borderId="2" pivotButton="0" quotePrefix="0" xfId="0"/>
    <xf numFmtId="165" fontId="0" fillId="6" borderId="2" applyAlignment="1" applyProtection="1" pivotButton="0" quotePrefix="0" xfId="0">
      <alignment horizontal="right" vertical="top"/>
      <protection locked="0" hidden="0"/>
    </xf>
    <xf numFmtId="0" fontId="12" fillId="4" borderId="0" applyAlignment="1" pivotButton="0" quotePrefix="0" xfId="0">
      <alignment horizontal="right" vertical="center"/>
    </xf>
    <xf numFmtId="164" fontId="21" fillId="5" borderId="2" applyAlignment="1" pivotButton="0" quotePrefix="0" xfId="0">
      <alignment horizontal="right" vertical="top"/>
    </xf>
    <xf numFmtId="0" fontId="13" fillId="0" borderId="0" applyAlignment="1" pivotButton="0" quotePrefix="0" xfId="0">
      <alignment vertical="top" wrapText="1"/>
    </xf>
    <xf numFmtId="0" fontId="22" fillId="2" borderId="7" applyAlignment="1" pivotButton="0" quotePrefix="0" xfId="0">
      <alignment vertical="top" wrapText="1"/>
    </xf>
    <xf numFmtId="0" fontId="12" fillId="3" borderId="0" applyAlignment="1" pivotButton="0" quotePrefix="0" xfId="0">
      <alignment vertical="center"/>
    </xf>
    <xf numFmtId="4" fontId="11" fillId="0" borderId="2" applyAlignment="1" pivotButton="0" quotePrefix="0" xfId="0">
      <alignment horizontal="right" vertical="top"/>
    </xf>
    <xf numFmtId="0" fontId="23" fillId="0" borderId="0" pivotButton="0" quotePrefix="0" xfId="0"/>
    <xf numFmtId="0" fontId="0" fillId="0" borderId="5" pivotButton="0" quotePrefix="0" xfId="0"/>
    <xf numFmtId="0" fontId="0" fillId="0" borderId="6" pivotButton="0" quotePrefix="0" xfId="0"/>
    <xf numFmtId="0" fontId="4" fillId="3" borderId="0" pivotButton="0" quotePrefix="0" xfId="0"/>
    <xf numFmtId="0" fontId="5" fillId="2" borderId="0" applyAlignment="1" pivotButton="0" quotePrefix="0" xfId="0">
      <alignment vertical="top" wrapText="1"/>
    </xf>
    <xf numFmtId="0" fontId="7" fillId="5" borderId="0" pivotButton="0" quotePrefix="0" xfId="0"/>
    <xf numFmtId="0" fontId="4" fillId="4" borderId="0" pivotButton="0" quotePrefix="0" xfId="0"/>
    <xf numFmtId="0" fontId="19" fillId="0" borderId="0" applyAlignment="1" pivotButton="0" quotePrefix="0" xfId="0">
      <alignment vertical="top" wrapText="1"/>
    </xf>
    <xf numFmtId="0" fontId="2" fillId="0" borderId="0" applyAlignment="1" pivotButton="0" quotePrefix="0" xfId="0">
      <alignment vertical="top" wrapText="1"/>
    </xf>
    <xf numFmtId="0" fontId="8" fillId="0" borderId="0" applyAlignment="1" pivotButton="0" quotePrefix="0" xfId="0">
      <alignment vertical="top" wrapText="1"/>
    </xf>
    <xf numFmtId="4" fontId="0" fillId="0" borderId="2" applyAlignment="1" pivotButton="0" quotePrefix="0" xfId="0">
      <alignment horizontal="right" vertical="top"/>
    </xf>
    <xf numFmtId="164" fontId="0" fillId="6" borderId="2" applyAlignment="1" applyProtection="1" pivotButton="0" quotePrefix="0" xfId="0">
      <alignment horizontal="right" vertical="top"/>
      <protection locked="0" hidden="0"/>
    </xf>
    <xf numFmtId="164" fontId="11" fillId="0" borderId="2" applyAlignment="1" pivotButton="0" quotePrefix="0" xfId="0">
      <alignment horizontal="right" vertical="top"/>
    </xf>
    <xf numFmtId="0" fontId="9" fillId="0" borderId="2" applyAlignment="1" pivotButton="0" quotePrefix="0" xfId="0">
      <alignment vertical="top" wrapText="1"/>
    </xf>
    <xf numFmtId="0" fontId="7" fillId="0" borderId="2" pivotButton="0" quotePrefix="0" xfId="0"/>
    <xf numFmtId="0" fontId="4" fillId="4" borderId="0" applyAlignment="1" pivotButton="0" quotePrefix="0" xfId="0">
      <alignment horizontal="right" vertical="center"/>
    </xf>
    <xf numFmtId="0" fontId="14" fillId="0" borderId="2" applyAlignment="1" pivotButton="0" quotePrefix="0" xfId="0">
      <alignment vertical="top" wrapText="1"/>
    </xf>
    <xf numFmtId="4" fontId="14" fillId="0" borderId="2" applyAlignment="1" pivotButton="0" quotePrefix="0" xfId="0">
      <alignment horizontal="right" vertical="top"/>
    </xf>
    <xf numFmtId="0" fontId="14" fillId="7" borderId="2" pivotButton="0" quotePrefix="0" xfId="0"/>
    <xf numFmtId="0" fontId="16" fillId="7" borderId="2" applyAlignment="1" pivotButton="0" quotePrefix="0" xfId="0">
      <alignment horizontal="center" vertical="top"/>
    </xf>
    <xf numFmtId="0" fontId="15" fillId="0" borderId="2" applyAlignment="1" pivotButton="0" quotePrefix="0" xfId="0">
      <alignment vertical="top" wrapText="1"/>
    </xf>
    <xf numFmtId="0" fontId="17" fillId="0" borderId="2" applyAlignment="1" pivotButton="0" quotePrefix="0" xfId="0">
      <alignment vertical="top" wrapText="1"/>
    </xf>
    <xf numFmtId="4" fontId="17" fillId="0" borderId="2" applyAlignment="1" pivotButton="0" quotePrefix="0" xfId="0">
      <alignment horizontal="right" vertical="top"/>
    </xf>
    <xf numFmtId="0" fontId="17" fillId="7" borderId="2" pivotButton="0" quotePrefix="0" xfId="0"/>
    <xf numFmtId="0" fontId="18" fillId="0" borderId="2" applyAlignment="1" pivotButton="0" quotePrefix="0" xfId="0">
      <alignment vertical="top" wrapText="1"/>
    </xf>
    <xf numFmtId="4" fontId="0" fillId="0" borderId="2" applyAlignment="1" pivotButton="0" quotePrefix="0" xfId="0">
      <alignment vertical="top" wrapText="1"/>
    </xf>
    <xf numFmtId="0" fontId="11" fillId="0" borderId="0" pivotButton="0" quotePrefix="0" xfId="0"/>
    <xf numFmtId="4" fontId="11" fillId="0" borderId="0" pivotButton="0" quotePrefix="0" xfId="0"/>
    <xf numFmtId="0"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drawing1.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0</row>
      <rowOff>0</rowOff>
    </from>
    <ext cx="6572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fitToPage="1"/>
  </sheetPr>
  <dimension ref="A1:F66"/>
  <sheetViews>
    <sheetView showGridLines="0" workbookViewId="0">
      <selection activeCell="A1" sqref="A1"/>
    </sheetView>
  </sheetViews>
  <sheetFormatPr baseColWidth="8" defaultRowHeight="15"/>
  <cols>
    <col width="22" customWidth="1" min="1" max="1"/>
    <col width="50" customWidth="1" min="2" max="2"/>
    <col width="18" customWidth="1" min="3" max="3"/>
    <col width="17" customWidth="1" min="4" max="4"/>
    <col width="17" customWidth="1" min="5" max="5"/>
    <col width="18" customWidth="1" min="6" max="6"/>
  </cols>
  <sheetData>
    <row r="1" ht="22" customHeight="1">
      <c r="C1" s="1" t="inlineStr">
        <is>
          <t>Bill of Quantities Package - Ancillary Trades</t>
        </is>
      </c>
    </row>
    <row r="2" ht="18" customHeight="1">
      <c r="C2" s="2" t="inlineStr">
        <is>
          <t>ES26-081  |  Lon Eilian, Caernarfon  |  Beech Developments</t>
        </is>
      </c>
    </row>
    <row r="3" ht="4" customHeight="1">
      <c r="A3" s="3" t="n"/>
      <c r="B3" s="3" t="n"/>
      <c r="C3" s="3" t="n"/>
      <c r="D3" s="3" t="n"/>
      <c r="E3" s="3" t="n"/>
      <c r="F3" s="3" t="n"/>
    </row>
    <row r="4" ht="62"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16" customHeight="1">
      <c r="A6" s="5" t="inlineStr">
        <is>
          <t>Project</t>
        </is>
      </c>
      <c r="B6" s="6" t="inlineStr">
        <is>
          <t>Lon Eilian, Caernarfon</t>
        </is>
      </c>
    </row>
    <row r="7" ht="16" customHeight="1">
      <c r="A7" s="5" t="inlineStr">
        <is>
          <t>Site</t>
        </is>
      </c>
      <c r="B7" s="6" t="inlineStr">
        <is>
          <t>Lon Eilian, Caernarfon, Gwynedd</t>
        </is>
      </c>
    </row>
    <row r="8" ht="16" customHeight="1">
      <c r="A8" s="5" t="inlineStr">
        <is>
          <t>Client</t>
        </is>
      </c>
      <c r="B8" s="6" t="inlineStr">
        <is>
          <t>Beech Developments</t>
        </is>
      </c>
    </row>
    <row r="9" ht="16" customHeight="1">
      <c r="A9" s="5" t="inlineStr">
        <is>
          <t>Quotation ref</t>
        </is>
      </c>
      <c r="B9" s="6" t="inlineStr">
        <is>
          <t>ES26-081</t>
        </is>
      </c>
    </row>
    <row r="10" ht="16" customHeight="1">
      <c r="A10" s="5" t="inlineStr">
        <is>
          <t>Document</t>
        </is>
      </c>
      <c r="B10" s="6" t="inlineStr">
        <is>
          <t>Bill of Quantities Package - Ancillary Trades</t>
        </is>
      </c>
    </row>
    <row r="11" ht="16" customHeight="1">
      <c r="A11" s="5" t="inlineStr">
        <is>
          <t>Issue</t>
        </is>
      </c>
      <c r="B11" s="6" t="inlineStr">
        <is>
          <t>01  (19/10/2026)</t>
        </is>
      </c>
    </row>
    <row r="12" ht="30" customHeight="1">
      <c r="A12" s="5" t="inlineStr">
        <is>
          <t>Scope</t>
        </is>
      </c>
      <c r="B12" s="6" t="inlineStr">
        <is>
          <t>4 x 2B1P flats - one pair of semi-detached buildings: Plot A/B and Plot C/D (each = GF flat + FF flat)</t>
        </is>
      </c>
    </row>
    <row r="13" ht="16" customHeight="1">
      <c r="A13" s="5" t="inlineStr">
        <is>
          <t>Prepared by</t>
        </is>
      </c>
      <c r="B13" s="6" t="inlineStr">
        <is>
          <t>BuildEase (Tremco CPG UK) - BuildEase Design Suite quotation model</t>
        </is>
      </c>
    </row>
    <row r="14" ht="30" customHeight="1">
      <c r="A14" s="5" t="inlineStr">
        <is>
          <t>Status</t>
        </is>
      </c>
      <c r="B14" s="7" t="inlineStr">
        <is>
          <t>FOR INFORMATION, COORDINATION AND PRICING BY OTHERS - rates blank; NOT part of the Nudura ICF price</t>
        </is>
      </c>
    </row>
    <row r="16" ht="20" customHeight="1">
      <c r="A16" s="8" t="inlineStr">
        <is>
          <t>PACKAGE OVERVIEW  -  pricing by others (all amounts formula-linked to each bill's Package Summary)</t>
        </is>
      </c>
    </row>
    <row r="17" ht="28" customHeight="1">
      <c r="A17" s="9" t="inlineStr">
        <is>
          <t>Bill</t>
        </is>
      </c>
      <c r="B17" s="9" t="inlineStr">
        <is>
          <t>Package</t>
        </is>
      </c>
      <c r="C17" s="9" t="inlineStr">
        <is>
          <t>Code / NRM2</t>
        </is>
      </c>
      <c r="D17" s="9" t="inlineStr">
        <is>
          <t>Supply £</t>
        </is>
      </c>
      <c r="E17" s="9" t="inlineStr">
        <is>
          <t>Install £</t>
        </is>
      </c>
      <c r="F17" s="9" t="inlineStr">
        <is>
          <t>Total £</t>
        </is>
      </c>
    </row>
    <row r="18" ht="18" customHeight="1">
      <c r="A18" s="10" t="inlineStr">
        <is>
          <t>Bill 1</t>
        </is>
      </c>
      <c r="B18" s="10" t="inlineStr">
        <is>
          <t>Substructure &amp; Frame - ICF Concrete Core</t>
        </is>
      </c>
      <c r="C18" s="10" t="inlineStr">
        <is>
          <t>FRM  NRM2 11</t>
        </is>
      </c>
      <c r="D18" s="11">
        <f>'Bill 1 Concrete Core'!I20</f>
        <v/>
      </c>
      <c r="E18" s="11">
        <f>'Bill 1 Concrete Core'!J20</f>
        <v/>
      </c>
      <c r="F18" s="11">
        <f>'Bill 1 Concrete Core'!K20</f>
        <v/>
      </c>
    </row>
    <row r="19" ht="30" customHeight="1">
      <c r="A19" s="10" t="inlineStr">
        <is>
          <t>Bill 2</t>
        </is>
      </c>
      <c r="B19" s="10" t="inlineStr">
        <is>
          <t>External Wall Finishes - Render, Brick Slips &amp; Beads</t>
        </is>
      </c>
      <c r="C19" s="10" t="inlineStr">
        <is>
          <t>CLD  NRM2 21, 28</t>
        </is>
      </c>
      <c r="D19" s="11">
        <f>'Bill 2 External Finishes'!I39</f>
        <v/>
      </c>
      <c r="E19" s="11">
        <f>'Bill 2 External Finishes'!J39</f>
        <v/>
      </c>
      <c r="F19" s="11">
        <f>'Bill 2 External Finishes'!K39</f>
        <v/>
      </c>
    </row>
    <row r="20" ht="30" customHeight="1">
      <c r="A20" s="10" t="inlineStr">
        <is>
          <t>Bill 3</t>
        </is>
      </c>
      <c r="B20" s="10" t="inlineStr">
        <is>
          <t>Internal Linings - Plasterboard, Tape, Beads &amp; Skim</t>
        </is>
      </c>
      <c r="C20" s="10" t="inlineStr">
        <is>
          <t>DRY  NRM2 28</t>
        </is>
      </c>
      <c r="D20" s="11">
        <f>'Bill 3 Internal Linings'!I42</f>
        <v/>
      </c>
      <c r="E20" s="11">
        <f>'Bill 3 Internal Linings'!J42</f>
        <v/>
      </c>
      <c r="F20" s="11">
        <f>'Bill 3 Internal Linings'!K42</f>
        <v/>
      </c>
    </row>
    <row r="21" ht="18" customHeight="1">
      <c r="A21" s="10" t="inlineStr">
        <is>
          <t>Bill 4</t>
        </is>
      </c>
      <c r="B21" s="10" t="inlineStr">
        <is>
          <t>Internal Doors &amp; Ironmongery</t>
        </is>
      </c>
      <c r="C21" s="10" t="inlineStr">
        <is>
          <t>JOI  NRM2 24</t>
        </is>
      </c>
      <c r="D21" s="11">
        <f>'Bill 4 Doors'!I37</f>
        <v/>
      </c>
      <c r="E21" s="11">
        <f>'Bill 4 Doors'!J37</f>
        <v/>
      </c>
      <c r="F21" s="11">
        <f>'Bill 4 Doors'!K37</f>
        <v/>
      </c>
    </row>
    <row r="22" ht="18" customHeight="1">
      <c r="A22" s="10" t="inlineStr">
        <is>
          <t>Bill 5</t>
        </is>
      </c>
      <c r="B22" s="10" t="inlineStr">
        <is>
          <t>Joinery - Skirtings, Architraves &amp; Window Boards</t>
        </is>
      </c>
      <c r="C22" s="10" t="inlineStr">
        <is>
          <t>JOI  NRM2 22</t>
        </is>
      </c>
      <c r="D22" s="11">
        <f>'Bill 5 Joinery'!I48</f>
        <v/>
      </c>
      <c r="E22" s="11">
        <f>'Bill 5 Joinery'!J48</f>
        <v/>
      </c>
      <c r="F22" s="11">
        <f>'Bill 5 Joinery'!K48</f>
        <v/>
      </c>
    </row>
    <row r="23" ht="30" customHeight="1">
      <c r="A23" s="10" t="inlineStr">
        <is>
          <t>Bill 6</t>
        </is>
      </c>
      <c r="B23" s="10" t="inlineStr">
        <is>
          <t>Timber Stud Partitions - Framing, Openings, Pattresses &amp; Fixings</t>
        </is>
      </c>
      <c r="C23" s="10" t="inlineStr">
        <is>
          <t>JOI  NRM2 16</t>
        </is>
      </c>
      <c r="D23" s="11">
        <f>'Bill 6 Partitions'!I51</f>
        <v/>
      </c>
      <c r="E23" s="11">
        <f>'Bill 6 Partitions'!J51</f>
        <v/>
      </c>
      <c r="F23" s="11">
        <f>'Bill 6 Partitions'!K51</f>
        <v/>
      </c>
    </row>
    <row r="24" ht="20" customHeight="1">
      <c r="A24" s="12" t="inlineStr">
        <is>
          <t>GRAND TOTAL - ancillary trades, net (excl. VAT)</t>
        </is>
      </c>
      <c r="D24" s="13">
        <f>SUM(D18:D23)</f>
        <v/>
      </c>
      <c r="E24" s="13">
        <f>SUM(E18:E23)</f>
        <v/>
      </c>
      <c r="F24" s="13">
        <f>SUM(F18:F23)</f>
        <v/>
      </c>
    </row>
    <row r="26">
      <c r="A26" s="14" t="inlineStr">
        <is>
          <t>Optional additions (enter %; blank = 0)</t>
        </is>
      </c>
      <c r="C26" s="15" t="inlineStr">
        <is>
          <t>%</t>
        </is>
      </c>
      <c r="F26" s="15" t="inlineStr">
        <is>
          <t>Amount £</t>
        </is>
      </c>
    </row>
    <row r="27">
      <c r="A27" s="16" t="inlineStr">
        <is>
          <t>Preliminaries</t>
        </is>
      </c>
      <c r="B27" s="17" t="inlineStr">
        <is>
          <t>on the net grand total</t>
        </is>
      </c>
      <c r="C27" s="18" t="n"/>
      <c r="F27" s="11">
        <f>(F24)*N(C27)</f>
        <v/>
      </c>
    </row>
    <row r="28">
      <c r="A28" s="16" t="inlineStr">
        <is>
          <t>Overheads &amp; profit</t>
        </is>
      </c>
      <c r="B28" s="17" t="inlineStr">
        <is>
          <t>on net total + preliminaries</t>
        </is>
      </c>
      <c r="C28" s="18" t="n"/>
      <c r="F28" s="11">
        <f>(F24+F27)*N(C28)</f>
        <v/>
      </c>
    </row>
    <row r="29">
      <c r="A29" s="16" t="inlineStr">
        <is>
          <t>Contingency</t>
        </is>
      </c>
      <c r="B29" s="17" t="inlineStr">
        <is>
          <t>on net total + preliminaries + OH&amp;P</t>
        </is>
      </c>
      <c r="C29" s="18" t="n"/>
      <c r="F29" s="11">
        <f>(F24+F27+F28)*N(C29)</f>
        <v/>
      </c>
    </row>
    <row r="30" ht="22" customHeight="1">
      <c r="A30" s="19" t="inlineStr">
        <is>
          <t>GRAND TOTAL including preliminaries, OH&amp;P and contingency (excl. VAT)</t>
        </is>
      </c>
      <c r="F30" s="20">
        <f>F24+F27+F28+F29</f>
        <v/>
      </c>
    </row>
    <row r="31" ht="24" customHeight="1">
      <c r="A31" s="21" t="inlineStr">
        <is>
          <t>Pale-yellow cells are the only inputs (rates on each bill sheet, percentages here). Everything else is a locked formula (protection has no password). Schedules A and B are reference only and are not priced.</t>
        </is>
      </c>
    </row>
    <row r="33" ht="80" customHeight="1">
      <c r="A33" s="22" t="inlineStr">
        <is>
          <t>IMPORTANT -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35" ht="20" customHeight="1">
      <c r="A35" s="23" t="inlineStr">
        <is>
          <t>KEY QUANTITIES  (both plots, net; linked to the bills)</t>
        </is>
      </c>
    </row>
    <row r="36">
      <c r="A36" s="16" t="inlineStr">
        <is>
          <t>Concrete core (whole building)</t>
        </is>
      </c>
      <c r="D36" s="24">
        <f>'Bill 1 Concrete Core'!F9+'Bill 1 Concrete Core'!F10+'Bill 1 Concrete Core'!F11</f>
        <v/>
      </c>
      <c r="E36" s="16" t="inlineStr">
        <is>
          <t>m3</t>
        </is>
      </c>
    </row>
    <row r="37">
      <c r="A37" s="16" t="inlineStr">
        <is>
          <t>Render, Dryvit (walls, excl. reveals)</t>
        </is>
      </c>
      <c r="D37" s="24">
        <f>'Bill 2 External Finishes'!F9+'Bill 2 External Finishes'!F10+'Bill 2 External Finishes'!F11</f>
        <v/>
      </c>
      <c r="E37" s="16" t="inlineStr">
        <is>
          <t>m2</t>
        </is>
      </c>
    </row>
    <row r="38">
      <c r="A38" s="16" t="inlineStr">
        <is>
          <t>Brick slips, Monolith (walls, excl. reveals)</t>
        </is>
      </c>
      <c r="D38" s="24">
        <f>'Bill 2 External Finishes'!F15+'Bill 2 External Finishes'!F16+'Bill 2 External Finishes'!F17+'Bill 2 External Finishes'!F18</f>
        <v/>
      </c>
      <c r="E38" s="16" t="inlineStr">
        <is>
          <t>m2</t>
        </is>
      </c>
    </row>
    <row r="39">
      <c r="A39" s="16" t="inlineStr">
        <is>
          <t>Plasterboard, walls and reveals (net)</t>
        </is>
      </c>
      <c r="D39" s="24">
        <f>'Bill 3 Internal Linings'!F9+'Bill 3 Internal Linings'!F10+'Bill 3 Internal Linings'!F11+'Bill 3 Internal Linings'!F12+'Bill 3 Internal Linings'!F13+'Bill 3 Internal Linings'!F14+'Bill 3 Internal Linings'!F15+'Bill 3 Internal Linings'!F16+'Bill 3 Internal Linings'!F17+'Bill 3 Internal Linings'!F18+'Bill 3 Internal Linings'!F19+'Bill 3 Internal Linings'!F20</f>
        <v/>
      </c>
      <c r="E39" s="16" t="inlineStr">
        <is>
          <t>m2</t>
        </is>
      </c>
    </row>
    <row r="40">
      <c r="A40" s="16" t="inlineStr">
        <is>
          <t>Plasterboard, ceilings (net area)</t>
        </is>
      </c>
      <c r="D40" s="24">
        <f>'Bill 3 Internal Linings'!F23+'Bill 3 Internal Linings'!F24+'Bill 3 Internal Linings'!F25+'Bill 3 Internal Linings'!F26</f>
        <v/>
      </c>
      <c r="E40" s="16" t="inlineStr">
        <is>
          <t>m2</t>
        </is>
      </c>
    </row>
    <row r="41">
      <c r="A41" s="16" t="inlineStr">
        <is>
          <t>Skim coat</t>
        </is>
      </c>
      <c r="D41" s="24">
        <f>'Bill 3 Internal Linings'!F33</f>
        <v/>
      </c>
      <c r="E41" s="16" t="inlineStr">
        <is>
          <t>m2</t>
        </is>
      </c>
    </row>
    <row r="42">
      <c r="A42" s="16" t="inlineStr">
        <is>
          <t>Internal doorsets</t>
        </is>
      </c>
      <c r="D42" s="24">
        <f>'Bill 4 Doors'!F9+'Bill 4 Doors'!F10+'Bill 4 Doors'!F11+'Bill 4 Doors'!F12+'Bill 4 Doors'!F13+'Bill 4 Doors'!F14+'Bill 4 Doors'!F15+'Bill 4 Doors'!F16+'Bill 4 Doors'!F17+'Bill 4 Doors'!F18+'Bill 4 Doors'!F19+'Bill 4 Doors'!F20</f>
        <v/>
      </c>
      <c r="E42" s="16" t="inlineStr">
        <is>
          <t>nr</t>
        </is>
      </c>
    </row>
    <row r="43">
      <c r="A43" s="16" t="inlineStr">
        <is>
          <t>Skirting</t>
        </is>
      </c>
      <c r="D43" s="24">
        <f>'Bill 5 Joinery'!F24</f>
        <v/>
      </c>
      <c r="E43" s="16" t="inlineStr">
        <is>
          <t>m</t>
        </is>
      </c>
    </row>
    <row r="44">
      <c r="A44" s="16" t="inlineStr">
        <is>
          <t>Architrave</t>
        </is>
      </c>
      <c r="D44" s="24">
        <f>'Bill 5 Joinery'!F27+'Bill 5 Joinery'!F28</f>
        <v/>
      </c>
      <c r="E44" s="16" t="inlineStr">
        <is>
          <t>m</t>
        </is>
      </c>
    </row>
    <row r="45">
      <c r="A45" s="16" t="inlineStr">
        <is>
          <t>Window boards</t>
        </is>
      </c>
      <c r="D45" s="24">
        <f>'Bill 5 Joinery'!F31+'Bill 5 Joinery'!F32+'Bill 5 Joinery'!F33+'Bill 5 Joinery'!F34+'Bill 5 Joinery'!F35+'Bill 5 Joinery'!F36+'Bill 5 Joinery'!F37+'Bill 5 Joinery'!F38+'Bill 5 Joinery'!F39+'Bill 5 Joinery'!F40</f>
        <v/>
      </c>
      <c r="E45" s="16" t="inlineStr">
        <is>
          <t>nr</t>
        </is>
      </c>
    </row>
    <row r="46">
      <c r="A46" s="16" t="inlineStr">
        <is>
          <t>Window boards, total length</t>
        </is>
      </c>
      <c r="D46" s="24">
        <f>'Bill 5 Joinery'!F41</f>
        <v/>
      </c>
      <c r="E46" s="16" t="inlineStr">
        <is>
          <t>m</t>
        </is>
      </c>
    </row>
    <row r="47">
      <c r="A47" s="16" t="inlineStr">
        <is>
          <t>Timber stud partitions and boxing (gross area)</t>
        </is>
      </c>
      <c r="D47" s="24">
        <f>'Bill 6 Partitions'!F9+'Bill 6 Partitions'!F10+'Bill 6 Partitions'!F11+'Bill 6 Partitions'!F12+'Bill 6 Partitions'!F13+'Bill 6 Partitions'!F14</f>
        <v/>
      </c>
      <c r="E47" s="16" t="inlineStr">
        <is>
          <t>m2</t>
        </is>
      </c>
    </row>
    <row r="48">
      <c r="A48" s="16" t="inlineStr">
        <is>
          <t>Partition timber, C16 (all sections)</t>
        </is>
      </c>
      <c r="D48" s="24">
        <f>'Bill 6 Partitions'!F17+'Bill 6 Partitions'!F18+'Bill 6 Partitions'!F19+'Bill 6 Partitions'!F20+'Bill 6 Partitions'!F21+'Bill 6 Partitions'!F22</f>
        <v/>
      </c>
      <c r="E48" s="16" t="inlineStr">
        <is>
          <t>m</t>
        </is>
      </c>
    </row>
    <row r="49">
      <c r="A49" s="16" t="inlineStr">
        <is>
          <t>Door openings formed in partitions</t>
        </is>
      </c>
      <c r="D49" s="24">
        <f>'Bill 6 Partitions'!F27+'Bill 6 Partitions'!F28+'Bill 6 Partitions'!F29+'Bill 6 Partitions'!F30</f>
        <v/>
      </c>
      <c r="E49" s="16" t="inlineStr">
        <is>
          <t>nr</t>
        </is>
      </c>
    </row>
    <row r="51">
      <c r="A51" s="25" t="inlineStr">
        <is>
          <t>Document control</t>
        </is>
      </c>
    </row>
    <row r="52" ht="28" customHeight="1">
      <c r="A52" s="9" t="inlineStr">
        <is>
          <t>Issue</t>
        </is>
      </c>
      <c r="B52" s="9" t="inlineStr">
        <is>
          <t>Description</t>
        </is>
      </c>
      <c r="C52" s="9" t="inlineStr">
        <is>
          <t>Date</t>
        </is>
      </c>
      <c r="D52" s="9" t="inlineStr">
        <is>
          <t>By / Status</t>
        </is>
      </c>
      <c r="E52" s="26" t="n"/>
      <c r="F52" s="27" t="n"/>
    </row>
    <row r="53" ht="56" customHeight="1">
      <c r="A53" s="10" t="inlineStr">
        <is>
          <t>01</t>
        </is>
      </c>
      <c r="B53" s="10" t="inlineStr">
        <is>
          <t>First issue as BOQ package (from Extra Info take-off of 16/10/2026). Live pricing workbook: supply and install rates, package summaries and cover overview by formula; rates blank for pricing by others</t>
        </is>
      </c>
      <c r="C53" s="10" t="inlineStr">
        <is>
          <t>19/10/2026</t>
        </is>
      </c>
      <c r="D53" s="10" t="inlineStr">
        <is>
          <t>BuildEase - T. Smith / For information / pricing by others</t>
        </is>
      </c>
      <c r="E53" s="10" t="n"/>
      <c r="F53" s="10" t="n"/>
    </row>
    <row r="55">
      <c r="A55" s="25" t="inlineStr">
        <is>
          <t>Contents</t>
        </is>
      </c>
    </row>
    <row r="56">
      <c r="A56" t="inlineStr">
        <is>
          <t>Cover (this sheet) - overview</t>
        </is>
      </c>
    </row>
    <row r="57">
      <c r="A57" t="inlineStr">
        <is>
          <t>General Notes</t>
        </is>
      </c>
    </row>
    <row r="58">
      <c r="A58" t="inlineStr">
        <is>
          <t>Summary of Bills (section breakdown)</t>
        </is>
      </c>
    </row>
    <row r="59">
      <c r="A59" t="inlineStr">
        <is>
          <t>Bill 1 Concrete Core</t>
        </is>
      </c>
    </row>
    <row r="60">
      <c r="A60" t="inlineStr">
        <is>
          <t>Bill 2 External Finishes</t>
        </is>
      </c>
    </row>
    <row r="61">
      <c r="A61" t="inlineStr">
        <is>
          <t>Bill 3 Internal Linings</t>
        </is>
      </c>
    </row>
    <row r="62">
      <c r="A62" t="inlineStr">
        <is>
          <t>Bill 4 Doors</t>
        </is>
      </c>
    </row>
    <row r="63">
      <c r="A63" t="inlineStr">
        <is>
          <t>Bill 5 Joinery</t>
        </is>
      </c>
    </row>
    <row r="64">
      <c r="A64" t="inlineStr">
        <is>
          <t>Bill 6 Partitions</t>
        </is>
      </c>
    </row>
    <row r="65">
      <c r="A65" t="inlineStr">
        <is>
          <t>Schedule A Floor Areas (not priced)</t>
        </is>
      </c>
    </row>
    <row r="66">
      <c r="A66" t="inlineStr">
        <is>
          <t>Schedule B Openings (not priced)</t>
        </is>
      </c>
    </row>
  </sheetData>
  <sheetProtection selectLockedCells="0" selectUnlockedCells="0" sheet="1" objects="0" insertRows="1" insertHyperlinks="1" autoFilter="1" scenarios="0" formatColumns="0" deleteColumns="1" insertColumns="1" pivotTables="1" deleteRows="1" formatCells="1" formatRows="0" sort="1"/>
  <mergeCells count="34">
    <mergeCell ref="A30:E30"/>
    <mergeCell ref="A16:F16"/>
    <mergeCell ref="A41:C41"/>
    <mergeCell ref="B7:F7"/>
    <mergeCell ref="A37:C37"/>
    <mergeCell ref="A46:C46"/>
    <mergeCell ref="D53:F53"/>
    <mergeCell ref="A33:F33"/>
    <mergeCell ref="A42:C42"/>
    <mergeCell ref="B12:F12"/>
    <mergeCell ref="A47:C47"/>
    <mergeCell ref="B11:F11"/>
    <mergeCell ref="A35:F35"/>
    <mergeCell ref="A4:F4"/>
    <mergeCell ref="B14:F14"/>
    <mergeCell ref="B8:F8"/>
    <mergeCell ref="A43:C43"/>
    <mergeCell ref="A38:C38"/>
    <mergeCell ref="B13:F13"/>
    <mergeCell ref="A44:C44"/>
    <mergeCell ref="B10:F10"/>
    <mergeCell ref="A31:F31"/>
    <mergeCell ref="A40:C40"/>
    <mergeCell ref="C1:F1"/>
    <mergeCell ref="A39:C39"/>
    <mergeCell ref="A48:C48"/>
    <mergeCell ref="A24:C24"/>
    <mergeCell ref="B9:F9"/>
    <mergeCell ref="A36:C36"/>
    <mergeCell ref="A49:C49"/>
    <mergeCell ref="B6:F6"/>
    <mergeCell ref="A45:C45"/>
    <mergeCell ref="D52:F52"/>
    <mergeCell ref="C2:F2"/>
  </mergeCells>
  <printOptions horizontalCentered="1"/>
  <pageMargins left="0.75" right="0.75" top="0.7" bottom="0.75" header="0.5" footer="0.5"/>
  <pageSetup orientation="portrait"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55"/>
  <sheetViews>
    <sheetView showGridLines="0" workbookViewId="0">
      <selection activeCell="A1" sqref="A1"/>
    </sheetView>
  </sheetViews>
  <sheetFormatPr baseColWidth="8" defaultRowHeight="15"/>
  <cols>
    <col width="14" customWidth="1" min="1" max="1"/>
    <col width="116" customWidth="1" min="2" max="2"/>
  </cols>
  <sheetData>
    <row r="1" ht="22" customHeight="1">
      <c r="B1" s="1" t="inlineStr">
        <is>
          <t>General Notes, Measurement Basis, Assumptions &amp; Exclusions</t>
        </is>
      </c>
    </row>
    <row r="2" ht="18" customHeight="1">
      <c r="B2" s="2" t="inlineStr">
        <is>
          <t>ES26-081  |  Lon Eilian, Caernarfon  |  Beech Developments</t>
        </is>
      </c>
    </row>
    <row r="3" ht="4" customHeight="1">
      <c r="A3" s="3" t="n"/>
      <c r="B3" s="3" t="n"/>
    </row>
    <row r="4" ht="62"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c r="A6" s="28" t="inlineStr">
        <is>
          <t>1  Purpose and status</t>
        </is>
      </c>
    </row>
    <row r="7" ht="45" customHeight="1">
      <c r="A7" s="2" t="inlineStr">
        <is>
          <t>1.1</t>
        </is>
      </c>
      <c r="B7" s="6" t="inlineStr">
        <is>
          <t>This package presents the ancillary-trade quantities measured by BuildEase alongside the Nudura ICF quotation for Lon Eilian, Caernarfon (ref ES26-081). It is set out in the form of a Bill of Quantities so that the client, their quantity surveyor and trade contractors can price and coordinate the works.</t>
        </is>
      </c>
    </row>
    <row r="8" ht="45" customHeight="1">
      <c r="A8" s="2" t="inlineStr">
        <is>
          <t>1.2</t>
        </is>
      </c>
      <c r="B8" s="6" t="inlineStr">
        <is>
          <t>Status: FOR INFORMATION, COORDINATION AND PRICING BY OTHERS. Supply and install rates are left blank deliberately - BuildEase / Tremco CPG are not pricing these trades. The Excel workbook is a live pricing document: enter rates and every amount, section subtotal, package total and the cover overview update by formula.</t>
        </is>
      </c>
    </row>
    <row r="9" ht="45" customHeight="1">
      <c r="A9" s="2" t="inlineStr">
        <is>
          <t>1.3</t>
        </is>
      </c>
      <c r="B9" s="29" t="inlineStr">
        <is>
          <t>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t>
        </is>
      </c>
    </row>
    <row r="10" ht="30" customHeight="1">
      <c r="A10" s="2" t="inlineStr">
        <is>
          <t>1.4</t>
        </is>
      </c>
      <c r="B10" s="29" t="inlineStr">
        <is>
          <t>Quantities are measured from the quotation model and drawings; no allowance for waste is included unless stated. Plot C/D is the handed mirror of Plot A/B; quantities match except Bill 6. Rates and amounts are by others.</t>
        </is>
      </c>
    </row>
    <row r="12">
      <c r="A12" s="28" t="inlineStr">
        <is>
          <t>2  Basis of measurement</t>
        </is>
      </c>
    </row>
    <row r="13" ht="45" customHeight="1">
      <c r="A13" s="2" t="inlineStr">
        <is>
          <t>2.1</t>
        </is>
      </c>
      <c r="B13" s="6" t="inlineStr">
        <is>
          <t>Measured generally in accordance with the principles of NRM2 (RICS New Rules of Measurement, Detailed measurement for building works): work measured net as fixed in position, items grouped by work section, units m / m2 / m3 / nr / item. NRM2 is referenced for structure only; descriptions are BuildEase's own.</t>
        </is>
      </c>
    </row>
    <row r="14" ht="30" customHeight="1">
      <c r="A14" s="2" t="inlineStr">
        <is>
          <t>2.2</t>
        </is>
      </c>
      <c r="B14" s="6" t="inlineStr">
        <is>
          <t>Quantities are NET. No allowance for waste, laps, cutting or breakage is included unless stated. Where useful an "Order guide" with a stated waste % is given in the Notes column; it is guidance only.</t>
        </is>
      </c>
    </row>
    <row r="15" ht="45" customHeight="1">
      <c r="A15" s="2" t="inlineStr">
        <is>
          <t>2.3</t>
        </is>
      </c>
      <c r="B15" s="6" t="inlineStr">
        <is>
          <t>Quantities are given to two decimal places and are not rounded to whole units. Per-plot columns: Plot A/B (GF flat + FF flat) and Plot C/D (GF flat + FF flat). Plot C/D is the handed mirror of Plot A/B; quantities match except Bill 6.</t>
        </is>
      </c>
    </row>
    <row r="16" ht="75" customHeight="1">
      <c r="A16" s="2" t="inlineStr">
        <is>
          <t>2.4</t>
        </is>
      </c>
      <c r="B16" s="6" t="inlineStr">
        <is>
          <t>Sources: drawing P1361-LEC-SAL-02-ZZ-DR-A-0007 P2 (2B1P flat plans and elevations, vector, 1:100 @ A2); site elevations 0005 P04 for the porch lean-to; the BuildEase quotation model (structural openings, wall set-out, timber partitions and internal doors); the model concrete core (04_Logs/build/core.json); for Bill 6 the TLSTF timber-frame model extract (construction_data.json, drawings ES26-081-TF-01 / TF-02), 04_Logs/specs/LE_partitions.json and the LEP2 partition build reports.</t>
        </is>
      </c>
    </row>
    <row r="17" ht="45" customHeight="1">
      <c r="A17" s="2" t="inlineStr">
        <is>
          <t>2.5</t>
        </is>
      </c>
      <c r="B17" s="6" t="inlineStr">
        <is>
          <t>Bills 1 to 5 are generated from the Extra Info take-off of 16/10/2026 (le_xi_takeoff.py) and are identical to it; this package only re-presents them. Bill 6 (timber stud partitions) is measured from the TLSTF model extract of 19/10/2026 and agrees with the timber schedules on the TF sheets.</t>
        </is>
      </c>
    </row>
    <row r="19">
      <c r="A19" s="28" t="inlineStr">
        <is>
          <t>3  Assumptions</t>
        </is>
      </c>
    </row>
    <row r="20" ht="30" customHeight="1">
      <c r="A20" s="2" t="inlineStr">
        <is>
          <t>3.1</t>
        </is>
      </c>
      <c r="B20" s="6" t="inlineStr">
        <is>
          <t>Walls: external ICF 6in XR35 (355.6 mm overall); party and stair-enclosure walls 6in Standard (285.75 mm). ICF concrete core 152.4 mm.</t>
        </is>
      </c>
    </row>
    <row r="21" ht="30" customHeight="1">
      <c r="A21" s="2" t="inlineStr">
        <is>
          <t>3.2</t>
        </is>
      </c>
      <c r="B21" s="6" t="inlineStr">
        <is>
          <t>Windows / doors set 1/3 back from the outer ICF face (118.5 mm). External reveal = set-back + finish (render 10 mm / slips 25 mm). Internal reveal = 195 mm (ICF less set-back less frame 70 plus lining 27.5).</t>
        </is>
      </c>
    </row>
    <row r="22" ht="30" customHeight="1">
      <c r="A22" s="2" t="inlineStr">
        <is>
          <t>3.3</t>
        </is>
      </c>
      <c r="B22" s="6" t="inlineStr">
        <is>
          <t>Heights: GF walls FFL 0 to underside of FF joists 2575; FF walls from 2850 to ceiling under truss bottom chords (2450). Floor zone 2,575-2,850 excluded except the stair-well band.</t>
        </is>
      </c>
    </row>
    <row r="23" ht="30" customHeight="1">
      <c r="A23" s="2" t="inlineStr">
        <is>
          <t>3.4</t>
        </is>
      </c>
      <c r="B23" s="6" t="inlineStr">
        <is>
          <t>Render: Dryvit direct-applied over ICF EPS. Brick slips: Monolith system. Both are proposals to be confirmed with the suppliers.</t>
        </is>
      </c>
    </row>
    <row r="24" ht="45" customHeight="1">
      <c r="A24" s="2" t="inlineStr">
        <is>
          <t>3.5</t>
        </is>
      </c>
      <c r="B24" s="6" t="inlineStr">
        <is>
          <t>Plasterboard: 12.5 mm wallboard to ICF faces (MR in bathrooms); 15 mm Type F fire board to party and stair-enclosure walls; 15 mm each side of 38 x 89 stud partitions; GF ceiling (separating floor) 2 x 15 mm fire / acoustic board on resilient bars; FF ceilings 12.5 mm plus VCL.</t>
        </is>
      </c>
    </row>
    <row r="25" ht="30" customHeight="1">
      <c r="A25" s="2" t="inlineStr">
        <is>
          <t>3.6</t>
        </is>
      </c>
      <c r="B25" s="6" t="inlineStr">
        <is>
          <t>Doors: 1,210 mm gaps taken as cupboard pairs. Under-stair store door FD30S self-closing as a precaution. Flat entrance doors open to outside (PAS 24 / SBD, not FD30S).</t>
        </is>
      </c>
    </row>
    <row r="26" ht="30" customHeight="1">
      <c r="A26" s="2" t="inlineStr">
        <is>
          <t>3.7</t>
        </is>
      </c>
      <c r="B26" s="6" t="inlineStr">
        <is>
          <t>Concrete core: net from the model; order guide +5%, 6 m3 truck mixers, 60 m3 per pump per day, one pour per form level.</t>
        </is>
      </c>
    </row>
    <row r="28">
      <c r="A28" s="28" t="inlineStr">
        <is>
          <t>4  Exclusions (not measured in this package)</t>
        </is>
      </c>
    </row>
    <row r="29" ht="15" customHeight="1">
      <c r="A29" s="2" t="inlineStr">
        <is>
          <t>4.1</t>
        </is>
      </c>
      <c r="B29" s="6" t="inlineStr">
        <is>
          <t>Nudura ICF formwork and accessories (in the Nudura price - see section 6).</t>
        </is>
      </c>
    </row>
    <row r="30" ht="30" customHeight="1">
      <c r="A30" s="2" t="inlineStr">
        <is>
          <t>4.2</t>
        </is>
      </c>
      <c r="B30" s="6" t="inlineStr">
        <is>
          <t>Supply of windows and external doorsets, external cills (listed for coordination only), roof coverings, soffits, fascias and rainwater goods.</t>
        </is>
      </c>
    </row>
    <row r="31" ht="30" customHeight="1">
      <c r="A31" s="2" t="inlineStr">
        <is>
          <t>4.3</t>
        </is>
      </c>
      <c r="B31" s="6" t="inlineStr">
        <is>
          <t>Floor finishes and screeds, decorations, staircases and balustrades, kitchens, sanitaryware, M&amp;E services and builder's work.</t>
        </is>
      </c>
    </row>
    <row r="32" ht="30" customHeight="1">
      <c r="A32" s="2" t="inlineStr">
        <is>
          <t>4.4</t>
        </is>
      </c>
      <c r="B32" s="6" t="inlineStr">
        <is>
          <t>Reinforcement design and scheduling, concrete mix design, temporary works, scaffolding and access, preliminaries, waste removal, VAT.</t>
        </is>
      </c>
    </row>
    <row r="33" ht="30" customHeight="1">
      <c r="A33" s="2" t="inlineStr">
        <is>
          <t>4.5</t>
        </is>
      </c>
      <c r="B33" s="6" t="inlineStr">
        <is>
          <t>Fire-stopping, cavity barriers, insulation to partitions and floors, sealants and mastics, except where expressly described.</t>
        </is>
      </c>
    </row>
    <row r="35">
      <c r="A35" s="28" t="inlineStr">
        <is>
          <t>5  Items to be confirmed</t>
        </is>
      </c>
    </row>
    <row r="36" ht="45" customHeight="1">
      <c r="A36" s="2" t="inlineStr">
        <is>
          <t>5.1</t>
        </is>
      </c>
      <c r="B36" s="6" t="inlineStr">
        <is>
          <t>Room areas match the drawn schedule within 0.05 m2 except: GF store 3.24 m2 on plan vs 2.9 drawn (headroom); GF stair lobby 3.05 vs 2.5 drawn; FF hall 6.88 m2 excluding the stair void vs 10.5 drawn (incl. void and landing). See Schedule A.</t>
        </is>
      </c>
    </row>
    <row r="37" ht="30" customHeight="1">
      <c r="A37" s="2" t="inlineStr">
        <is>
          <t>5.2</t>
        </is>
      </c>
      <c r="B37" s="6" t="inlineStr">
        <is>
          <t>Porch / stair-lobby side walls are not on the 0007 elevations; taken as brick slip from the site side elevation (trapezoid 2,360 rising at 23 deg).</t>
        </is>
      </c>
    </row>
    <row r="38" ht="15" customHeight="1">
      <c r="A38" s="2" t="inlineStr">
        <is>
          <t>5.3</t>
        </is>
      </c>
      <c r="B38" s="6" t="inlineStr">
        <is>
          <t>1,210 mm door gaps (G6 GF hall to A/C, F9 FF A/C) taken as cupboard pairs.</t>
        </is>
      </c>
    </row>
    <row r="39" ht="15" customHeight="1">
      <c r="A39" s="2" t="inlineStr">
        <is>
          <t>5.4</t>
        </is>
      </c>
      <c r="B39" s="6" t="inlineStr">
        <is>
          <t>FD30S to the under-stair store door is a precaution - confirm with Building Control.</t>
        </is>
      </c>
    </row>
    <row r="40" ht="15" customHeight="1">
      <c r="A40" s="2" t="inlineStr">
        <is>
          <t>5.5</t>
        </is>
      </c>
      <c r="B40" s="6" t="inlineStr">
        <is>
          <t>Board types and the Dryvit / Monolith build-ups are proposals - confirm with the suppliers and the designer.</t>
        </is>
      </c>
    </row>
    <row r="41" ht="15" customHeight="1">
      <c r="A41" s="2" t="inlineStr">
        <is>
          <t>5.6</t>
        </is>
      </c>
      <c r="B41" s="6" t="inlineStr">
        <is>
          <t>Concrete mix, reinforcement and pour sequence to the structural engineer.</t>
        </is>
      </c>
    </row>
    <row r="43">
      <c r="A43" s="28" t="inlineStr">
        <is>
          <t>6  What IS in the Nudura price (Quotation ES26-081 Rev A)</t>
        </is>
      </c>
    </row>
    <row r="44" ht="15" customHeight="1">
      <c r="A44" s="2" t="inlineStr">
        <is>
          <t>6.1</t>
        </is>
      </c>
      <c r="B44" s="6" t="inlineStr">
        <is>
          <t>Nudura pre-cut ICF kit for Plots A, B, C and D as modelled in the BuildEase Design Suite.</t>
        </is>
      </c>
    </row>
    <row r="45" ht="15" customHeight="1">
      <c r="A45" s="2" t="inlineStr">
        <is>
          <t>6.2</t>
        </is>
      </c>
      <c r="B45" s="6" t="inlineStr">
        <is>
          <t>Accessories: VJC clips, fibre tape, protective tape, spray foam, Form Lock and T-junction straps.</t>
        </is>
      </c>
    </row>
    <row r="46" ht="30" customHeight="1">
      <c r="A46" s="2" t="inlineStr">
        <is>
          <t>6.3</t>
        </is>
      </c>
      <c r="B46" s="6" t="inlineStr">
        <is>
          <t>BuildEase Pre-Cut Service: design, coordination, installation drawings, pre-cutting and packaging of forms, field services support.</t>
        </is>
      </c>
    </row>
    <row r="47" ht="30" customHeight="1">
      <c r="A47" s="2" t="inlineStr">
        <is>
          <t>6.4</t>
        </is>
      </c>
      <c r="B47" s="6" t="inlineStr">
        <is>
          <t>Alignment: 4 stillages of alignment systems for 4 weeks. Haulage: estimate, to be confirmed on the agreed build sequence.</t>
        </is>
      </c>
    </row>
    <row r="48" ht="15" customHeight="1">
      <c r="A48" s="2" t="inlineStr">
        <is>
          <t>6.5</t>
        </is>
      </c>
      <c r="B48" s="6" t="inlineStr">
        <is>
          <t>Nothing in Bills 1 to 6 of this package is included in the Nudura price.</t>
        </is>
      </c>
    </row>
    <row r="50">
      <c r="A50" s="28" t="inlineStr">
        <is>
          <t>7  Pricing instructions to tenderers</t>
        </is>
      </c>
    </row>
    <row r="51" ht="45" customHeight="1">
      <c r="A51" s="2" t="inlineStr">
        <is>
          <t>7.1</t>
        </is>
      </c>
      <c r="B51" s="6" t="inlineStr">
        <is>
          <t>Each bill item has a SUPPLY rate and an INSTALL rate. Insert rates only in the pale-yellow cells of the Excel workbook: Supply = Total qty x Supply rate; Install = Total qty x Install rate; Line total = Supply + Install. Items measured as "item" are lump sums: the rate entered is the amount.</t>
        </is>
      </c>
    </row>
    <row r="52" ht="45" customHeight="1">
      <c r="A52" s="2" t="inlineStr">
        <is>
          <t>7.2</t>
        </is>
      </c>
      <c r="B52" s="6" t="inlineStr">
        <is>
          <t>Each bill ends with a Package Summary (section subtotals for Supply / Install / Total and the package total). The Cover carries the full overview: one row per bill, grand totals, and optional Preliminaries, Overheads &amp; profit and Contingency percentages (pale-yellow cells; blank = 0).</t>
        </is>
      </c>
    </row>
    <row r="53" ht="30" customHeight="1">
      <c r="A53" s="2" t="inlineStr">
        <is>
          <t>7.3</t>
        </is>
      </c>
      <c r="B53" s="6" t="inlineStr">
        <is>
          <t>All other cells are locked by sheet protection (no password - Review &gt; Unprotect Sheet if a change is genuinely needed) so formulas cannot be overwritten by accident.</t>
        </is>
      </c>
    </row>
    <row r="54" ht="30" customHeight="1">
      <c r="A54" s="2" t="inlineStr">
        <is>
          <t>7.4</t>
        </is>
      </c>
      <c r="B54" s="6" t="inlineStr">
        <is>
          <t>Re-measure and verify all quantities before pricing or ordering. State any qualification against the item in the Notes column.</t>
        </is>
      </c>
    </row>
    <row r="55" ht="30" customHeight="1">
      <c r="A55" s="2" t="inlineStr">
        <is>
          <t>7.5</t>
        </is>
      </c>
      <c r="B55" s="6" t="inlineStr">
        <is>
          <t>The Order guide figures and the Schedules A and B are not measured bill items and must not be priced as such. All amounts exclude VAT.</t>
        </is>
      </c>
    </row>
  </sheetData>
  <sheetProtection selectLockedCells="0" selectUnlockedCells="0" sheet="1" objects="0" insertRows="1" insertHyperlinks="1" autoFilter="1" scenarios="0" formatColumns="0" deleteColumns="1" insertColumns="1" pivotTables="1" deleteRows="1" formatCells="1" formatRows="0" sort="1"/>
  <mergeCells count="8">
    <mergeCell ref="A4:B4"/>
    <mergeCell ref="A43:B43"/>
    <mergeCell ref="A50:B50"/>
    <mergeCell ref="A19:B19"/>
    <mergeCell ref="A28:B28"/>
    <mergeCell ref="A6:B6"/>
    <mergeCell ref="A35:B35"/>
    <mergeCell ref="A12:B12"/>
  </mergeCells>
  <printOptions horizontalCentered="1"/>
  <pageMargins left="0.75" right="0.75" top="0.7" bottom="0.75" header="0.5" footer="0.5"/>
  <pageSetup orientation="portrait"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35"/>
  <sheetViews>
    <sheetView showGridLines="0" workbookViewId="0">
      <pane ySplit="6" topLeftCell="A7" activePane="bottomLeft" state="frozen"/>
      <selection pane="bottomLeft" activeCell="A1" sqref="A1"/>
    </sheetView>
  </sheetViews>
  <sheetFormatPr baseColWidth="8" defaultRowHeight="15"/>
  <cols>
    <col width="10" customWidth="1" min="1" max="1"/>
    <col width="10" customWidth="1" min="2" max="2"/>
    <col width="58" customWidth="1" min="3" max="3"/>
    <col width="16" customWidth="1" min="4" max="4"/>
    <col width="16" customWidth="1" min="5" max="5"/>
    <col width="16" customWidth="1" min="6" max="6"/>
  </cols>
  <sheetData>
    <row r="1" ht="22" customHeight="1">
      <c r="C1" s="1" t="inlineStr">
        <is>
          <t>Summary of Bills - section breakdown</t>
        </is>
      </c>
    </row>
    <row r="2" ht="18" customHeight="1">
      <c r="C2" s="2" t="inlineStr">
        <is>
          <t>ES26-081  |  Lon Eilian, Caernarfon  |  Beech Developments  -  amounts by others, excl. VAT</t>
        </is>
      </c>
    </row>
    <row r="3" ht="4" customHeight="1">
      <c r="A3" s="3" t="n"/>
      <c r="B3" s="3" t="n"/>
      <c r="C3" s="3" t="n"/>
      <c r="D3" s="3" t="n"/>
      <c r="E3" s="3" t="n"/>
      <c r="F3" s="3" t="n"/>
    </row>
    <row r="4" ht="62"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Bill</t>
        </is>
      </c>
      <c r="B6" s="9" t="inlineStr">
        <is>
          <t>Section</t>
        </is>
      </c>
      <c r="C6" s="9" t="inlineStr">
        <is>
          <t>Description</t>
        </is>
      </c>
      <c r="D6" s="9" t="inlineStr">
        <is>
          <t>Supply £</t>
        </is>
      </c>
      <c r="E6" s="9" t="inlineStr">
        <is>
          <t>Install £</t>
        </is>
      </c>
      <c r="F6" s="9" t="inlineStr">
        <is>
          <t>Total £</t>
        </is>
      </c>
    </row>
    <row r="7">
      <c r="A7" s="10" t="n">
        <v>1</v>
      </c>
      <c r="B7" s="10" t="inlineStr">
        <is>
          <t>1A</t>
        </is>
      </c>
      <c r="C7" s="10" t="inlineStr">
        <is>
          <t>In-situ concrete to ICF wall cores (NRM2 11 / package FRM)</t>
        </is>
      </c>
      <c r="D7" s="11">
        <f>'Bill 1 Concrete Core'!I18</f>
        <v/>
      </c>
      <c r="E7" s="11">
        <f>'Bill 1 Concrete Core'!J18</f>
        <v/>
      </c>
      <c r="F7" s="11">
        <f>'Bill 1 Concrete Core'!K18</f>
        <v/>
      </c>
    </row>
    <row r="8">
      <c r="A8" s="10" t="n">
        <v>1</v>
      </c>
      <c r="B8" s="10" t="inlineStr">
        <is>
          <t>1B</t>
        </is>
      </c>
      <c r="C8" s="10" t="inlineStr">
        <is>
          <t>Reinforcement and associated items (to engineer's design - not measured)</t>
        </is>
      </c>
      <c r="D8" s="11">
        <f>'Bill 1 Concrete Core'!I19</f>
        <v/>
      </c>
      <c r="E8" s="11">
        <f>'Bill 1 Concrete Core'!J19</f>
        <v/>
      </c>
      <c r="F8" s="11">
        <f>'Bill 1 Concrete Core'!K19</f>
        <v/>
      </c>
    </row>
    <row r="9">
      <c r="A9" s="30" t="inlineStr">
        <is>
          <t>Bill 1 - Substructure &amp; Frame - ICF Concrete Core (package FRM)</t>
        </is>
      </c>
      <c r="D9" s="13">
        <f>'Bill 1 Concrete Core'!I20</f>
        <v/>
      </c>
      <c r="E9" s="13">
        <f>'Bill 1 Concrete Core'!J20</f>
        <v/>
      </c>
      <c r="F9" s="13">
        <f>'Bill 1 Concrete Core'!K20</f>
        <v/>
      </c>
    </row>
    <row r="10">
      <c r="A10" s="10" t="n">
        <v>2</v>
      </c>
      <c r="B10" s="10" t="inlineStr">
        <is>
          <t>2A</t>
        </is>
      </c>
      <c r="C10" s="10" t="inlineStr">
        <is>
          <t>Thin-coat render system over ICF (NRM2 28 / package CLD)</t>
        </is>
      </c>
      <c r="D10" s="11">
        <f>'Bill 2 External Finishes'!I35</f>
        <v/>
      </c>
      <c r="E10" s="11">
        <f>'Bill 2 External Finishes'!J35</f>
        <v/>
      </c>
      <c r="F10" s="11">
        <f>'Bill 2 External Finishes'!K35</f>
        <v/>
      </c>
    </row>
    <row r="11">
      <c r="A11" s="10" t="n">
        <v>2</v>
      </c>
      <c r="B11" s="10" t="inlineStr">
        <is>
          <t>2B</t>
        </is>
      </c>
      <c r="C11" s="10" t="inlineStr">
        <is>
          <t>Brick slip system over ICF (NRM2 21 / package CLD)</t>
        </is>
      </c>
      <c r="D11" s="11">
        <f>'Bill 2 External Finishes'!I36</f>
        <v/>
      </c>
      <c r="E11" s="11">
        <f>'Bill 2 External Finishes'!J36</f>
        <v/>
      </c>
      <c r="F11" s="11">
        <f>'Bill 2 External Finishes'!K36</f>
        <v/>
      </c>
    </row>
    <row r="12">
      <c r="A12" s="10" t="n">
        <v>2</v>
      </c>
      <c r="B12" s="10" t="inlineStr">
        <is>
          <t>2C</t>
        </is>
      </c>
      <c r="C12" s="10" t="inlineStr">
        <is>
          <t>Render beads and trims (NRM2 28 / package CLD)</t>
        </is>
      </c>
      <c r="D12" s="11">
        <f>'Bill 2 External Finishes'!I37</f>
        <v/>
      </c>
      <c r="E12" s="11">
        <f>'Bill 2 External Finishes'!J37</f>
        <v/>
      </c>
      <c r="F12" s="11">
        <f>'Bill 2 External Finishes'!K37</f>
        <v/>
      </c>
    </row>
    <row r="13">
      <c r="A13" s="10" t="n">
        <v>2</v>
      </c>
      <c r="B13" s="10" t="inlineStr">
        <is>
          <t>2D</t>
        </is>
      </c>
      <c r="C13" s="10" t="inlineStr">
        <is>
          <t>Coordination items (supply by others)</t>
        </is>
      </c>
      <c r="D13" s="11">
        <f>'Bill 2 External Finishes'!I38</f>
        <v/>
      </c>
      <c r="E13" s="11">
        <f>'Bill 2 External Finishes'!J38</f>
        <v/>
      </c>
      <c r="F13" s="11">
        <f>'Bill 2 External Finishes'!K38</f>
        <v/>
      </c>
    </row>
    <row r="14">
      <c r="A14" s="30" t="inlineStr">
        <is>
          <t>Bill 2 - External Wall Finishes - Render, Brick Slips &amp; Beads (package CLD)</t>
        </is>
      </c>
      <c r="D14" s="13">
        <f>'Bill 2 External Finishes'!I39</f>
        <v/>
      </c>
      <c r="E14" s="13">
        <f>'Bill 2 External Finishes'!J39</f>
        <v/>
      </c>
      <c r="F14" s="13">
        <f>'Bill 2 External Finishes'!K39</f>
        <v/>
      </c>
    </row>
    <row r="15">
      <c r="A15" s="10" t="n">
        <v>3</v>
      </c>
      <c r="B15" s="10" t="inlineStr">
        <is>
          <t>3A</t>
        </is>
      </c>
      <c r="C15" s="10" t="inlineStr">
        <is>
          <t>Plasterboard wall linings (NRM2 28 / package DRY)</t>
        </is>
      </c>
      <c r="D15" s="11">
        <f>'Bill 3 Internal Linings'!I39</f>
        <v/>
      </c>
      <c r="E15" s="11">
        <f>'Bill 3 Internal Linings'!J39</f>
        <v/>
      </c>
      <c r="F15" s="11">
        <f>'Bill 3 Internal Linings'!K39</f>
        <v/>
      </c>
    </row>
    <row r="16">
      <c r="A16" s="10" t="n">
        <v>3</v>
      </c>
      <c r="B16" s="10" t="inlineStr">
        <is>
          <t>3B</t>
        </is>
      </c>
      <c r="C16" s="10" t="inlineStr">
        <is>
          <t>Plasterboard ceilings (NRM2 28 / package DRY)</t>
        </is>
      </c>
      <c r="D16" s="11">
        <f>'Bill 3 Internal Linings'!I40</f>
        <v/>
      </c>
      <c r="E16" s="11">
        <f>'Bill 3 Internal Linings'!J40</f>
        <v/>
      </c>
      <c r="F16" s="11">
        <f>'Bill 3 Internal Linings'!K40</f>
        <v/>
      </c>
    </row>
    <row r="17">
      <c r="A17" s="10" t="n">
        <v>3</v>
      </c>
      <c r="B17" s="10" t="inlineStr">
        <is>
          <t>3C</t>
        </is>
      </c>
      <c r="C17" s="10" t="inlineStr">
        <is>
          <t>Jointing, beads and skim (NRM2 28 / package DRY)</t>
        </is>
      </c>
      <c r="D17" s="11">
        <f>'Bill 3 Internal Linings'!I41</f>
        <v/>
      </c>
      <c r="E17" s="11">
        <f>'Bill 3 Internal Linings'!J41</f>
        <v/>
      </c>
      <c r="F17" s="11">
        <f>'Bill 3 Internal Linings'!K41</f>
        <v/>
      </c>
    </row>
    <row r="18">
      <c r="A18" s="30" t="inlineStr">
        <is>
          <t>Bill 3 - Internal Linings - Plasterboard, Tape, Beads &amp; Skim (package DRY)</t>
        </is>
      </c>
      <c r="D18" s="13">
        <f>'Bill 3 Internal Linings'!I42</f>
        <v/>
      </c>
      <c r="E18" s="13">
        <f>'Bill 3 Internal Linings'!J42</f>
        <v/>
      </c>
      <c r="F18" s="13">
        <f>'Bill 3 Internal Linings'!K42</f>
        <v/>
      </c>
    </row>
    <row r="19">
      <c r="A19" s="10" t="n">
        <v>4</v>
      </c>
      <c r="B19" s="10" t="inlineStr">
        <is>
          <t>4A</t>
        </is>
      </c>
      <c r="C19" s="10" t="inlineStr">
        <is>
          <t>Internal doorsets (NRM2 24 / package JOI)</t>
        </is>
      </c>
      <c r="D19" s="11">
        <f>'Bill 4 Doors'!I34</f>
        <v/>
      </c>
      <c r="E19" s="11">
        <f>'Bill 4 Doors'!J34</f>
        <v/>
      </c>
      <c r="F19" s="11">
        <f>'Bill 4 Doors'!K34</f>
        <v/>
      </c>
    </row>
    <row r="20">
      <c r="A20" s="10" t="n">
        <v>4</v>
      </c>
      <c r="B20" s="10" t="inlineStr">
        <is>
          <t>4B</t>
        </is>
      </c>
      <c r="C20" s="10" t="inlineStr">
        <is>
          <t>Ironmongery (NRM2 24 / package JOI)</t>
        </is>
      </c>
      <c r="D20" s="11">
        <f>'Bill 4 Doors'!I35</f>
        <v/>
      </c>
      <c r="E20" s="11">
        <f>'Bill 4 Doors'!J35</f>
        <v/>
      </c>
      <c r="F20" s="11">
        <f>'Bill 4 Doors'!K35</f>
        <v/>
      </c>
    </row>
    <row r="21">
      <c r="A21" s="10" t="n">
        <v>4</v>
      </c>
      <c r="B21" s="10" t="inlineStr">
        <is>
          <t>4C</t>
        </is>
      </c>
      <c r="C21" s="10" t="inlineStr">
        <is>
          <t>External doorsets (for information - supply by others)</t>
        </is>
      </c>
      <c r="D21" s="11">
        <f>'Bill 4 Doors'!I36</f>
        <v/>
      </c>
      <c r="E21" s="11">
        <f>'Bill 4 Doors'!J36</f>
        <v/>
      </c>
      <c r="F21" s="11">
        <f>'Bill 4 Doors'!K36</f>
        <v/>
      </c>
    </row>
    <row r="22">
      <c r="A22" s="30" t="inlineStr">
        <is>
          <t>Bill 4 - Internal Doors &amp; Ironmongery (package JOI)</t>
        </is>
      </c>
      <c r="D22" s="13">
        <f>'Bill 4 Doors'!I37</f>
        <v/>
      </c>
      <c r="E22" s="13">
        <f>'Bill 4 Doors'!J37</f>
        <v/>
      </c>
      <c r="F22" s="13">
        <f>'Bill 4 Doors'!K37</f>
        <v/>
      </c>
    </row>
    <row r="23">
      <c r="A23" s="10" t="n">
        <v>5</v>
      </c>
      <c r="B23" s="10" t="inlineStr">
        <is>
          <t>5A</t>
        </is>
      </c>
      <c r="C23" s="10" t="inlineStr">
        <is>
          <t>Skirtings (NRM2 22 / package JOI)</t>
        </is>
      </c>
      <c r="D23" s="11">
        <f>'Bill 5 Joinery'!I45</f>
        <v/>
      </c>
      <c r="E23" s="11">
        <f>'Bill 5 Joinery'!J45</f>
        <v/>
      </c>
      <c r="F23" s="11">
        <f>'Bill 5 Joinery'!K45</f>
        <v/>
      </c>
    </row>
    <row r="24">
      <c r="A24" s="10" t="n">
        <v>5</v>
      </c>
      <c r="B24" s="10" t="inlineStr">
        <is>
          <t>5B</t>
        </is>
      </c>
      <c r="C24" s="10" t="inlineStr">
        <is>
          <t>Architraves (NRM2 22 / package JOI)</t>
        </is>
      </c>
      <c r="D24" s="11">
        <f>'Bill 5 Joinery'!I46</f>
        <v/>
      </c>
      <c r="E24" s="11">
        <f>'Bill 5 Joinery'!J46</f>
        <v/>
      </c>
      <c r="F24" s="11">
        <f>'Bill 5 Joinery'!K46</f>
        <v/>
      </c>
    </row>
    <row r="25">
      <c r="A25" s="10" t="n">
        <v>5</v>
      </c>
      <c r="B25" s="10" t="inlineStr">
        <is>
          <t>5C</t>
        </is>
      </c>
      <c r="C25" s="10" t="inlineStr">
        <is>
          <t>Window boards (NRM2 22 / package JOI)</t>
        </is>
      </c>
      <c r="D25" s="11">
        <f>'Bill 5 Joinery'!I47</f>
        <v/>
      </c>
      <c r="E25" s="11">
        <f>'Bill 5 Joinery'!J47</f>
        <v/>
      </c>
      <c r="F25" s="11">
        <f>'Bill 5 Joinery'!K47</f>
        <v/>
      </c>
    </row>
    <row r="26">
      <c r="A26" s="30" t="inlineStr">
        <is>
          <t>Bill 5 - Joinery - Skirtings, Architraves &amp; Window Boards (package JOI)</t>
        </is>
      </c>
      <c r="D26" s="13">
        <f>'Bill 5 Joinery'!I48</f>
        <v/>
      </c>
      <c r="E26" s="13">
        <f>'Bill 5 Joinery'!J48</f>
        <v/>
      </c>
      <c r="F26" s="13">
        <f>'Bill 5 Joinery'!K48</f>
        <v/>
      </c>
    </row>
    <row r="27">
      <c r="A27" s="10" t="n">
        <v>6</v>
      </c>
      <c r="B27" s="10" t="inlineStr">
        <is>
          <t>6A</t>
        </is>
      </c>
      <c r="C27" s="10" t="inlineStr">
        <is>
          <t>Timber stud partitions, non-loadbearing - framing (NRM2 16 / package JOI)</t>
        </is>
      </c>
      <c r="D27" s="11">
        <f>'Bill 6 Partitions'!I46</f>
        <v/>
      </c>
      <c r="E27" s="11">
        <f>'Bill 6 Partitions'!J46</f>
        <v/>
      </c>
      <c r="F27" s="11">
        <f>'Bill 6 Partitions'!K46</f>
        <v/>
      </c>
    </row>
    <row r="28">
      <c r="A28" s="10" t="n">
        <v>6</v>
      </c>
      <c r="B28" s="10" t="inlineStr">
        <is>
          <t>6B</t>
        </is>
      </c>
      <c r="C28" s="10" t="inlineStr">
        <is>
          <t>Partition timber - supply by section and grade (NRM2 16 / package JOI)</t>
        </is>
      </c>
      <c r="D28" s="11">
        <f>'Bill 6 Partitions'!I47</f>
        <v/>
      </c>
      <c r="E28" s="11">
        <f>'Bill 6 Partitions'!J47</f>
        <v/>
      </c>
      <c r="F28" s="11">
        <f>'Bill 6 Partitions'!K47</f>
        <v/>
      </c>
    </row>
    <row r="29">
      <c r="A29" s="10" t="n">
        <v>6</v>
      </c>
      <c r="B29" s="10" t="inlineStr">
        <is>
          <t>6C</t>
        </is>
      </c>
      <c r="C29" s="10" t="inlineStr">
        <is>
          <t>Forming door openings in partitions (NRM2 16 / package JOI)</t>
        </is>
      </c>
      <c r="D29" s="11">
        <f>'Bill 6 Partitions'!I48</f>
        <v/>
      </c>
      <c r="E29" s="11">
        <f>'Bill 6 Partitions'!J48</f>
        <v/>
      </c>
      <c r="F29" s="11">
        <f>'Bill 6 Partitions'!K48</f>
        <v/>
      </c>
    </row>
    <row r="30">
      <c r="A30" s="10" t="n">
        <v>6</v>
      </c>
      <c r="B30" s="10" t="inlineStr">
        <is>
          <t>6D</t>
        </is>
      </c>
      <c r="C30" s="10" t="inlineStr">
        <is>
          <t>Pattresses, noggins to floor and roof structure, head restraint (NRM2 16 / package JOI)</t>
        </is>
      </c>
      <c r="D30" s="11">
        <f>'Bill 6 Partitions'!I49</f>
        <v/>
      </c>
      <c r="E30" s="11">
        <f>'Bill 6 Partitions'!J49</f>
        <v/>
      </c>
      <c r="F30" s="11">
        <f>'Bill 6 Partitions'!K49</f>
        <v/>
      </c>
    </row>
    <row r="31">
      <c r="A31" s="10" t="n">
        <v>6</v>
      </c>
      <c r="B31" s="10" t="inlineStr">
        <is>
          <t>6E</t>
        </is>
      </c>
      <c r="C31" s="10" t="inlineStr">
        <is>
          <t>Fixings and sundries (NRM2 16 / package JOI)</t>
        </is>
      </c>
      <c r="D31" s="11">
        <f>'Bill 6 Partitions'!I50</f>
        <v/>
      </c>
      <c r="E31" s="11">
        <f>'Bill 6 Partitions'!J50</f>
        <v/>
      </c>
      <c r="F31" s="11">
        <f>'Bill 6 Partitions'!K50</f>
        <v/>
      </c>
    </row>
    <row r="32">
      <c r="A32" s="30" t="inlineStr">
        <is>
          <t>Bill 6 - Timber Stud Partitions - Framing, Openings, Pattresses &amp; Fixings (package JOI)</t>
        </is>
      </c>
      <c r="D32" s="13">
        <f>'Bill 6 Partitions'!I51</f>
        <v/>
      </c>
      <c r="E32" s="13">
        <f>'Bill 6 Partitions'!J51</f>
        <v/>
      </c>
      <c r="F32" s="13">
        <f>'Bill 6 Partitions'!K51</f>
        <v/>
      </c>
    </row>
    <row r="33">
      <c r="A33" s="31" t="inlineStr">
        <is>
          <t>TOTAL - ancillary trades, net (agrees with the Cover overview)</t>
        </is>
      </c>
      <c r="D33" s="13">
        <f>D9+D14+D18+D22+D26+D32</f>
        <v/>
      </c>
      <c r="E33" s="13">
        <f>E9+E14+E18+E22+E26+E32</f>
        <v/>
      </c>
      <c r="F33" s="13">
        <f>F9+F14+F18+F22+F26+F32</f>
        <v/>
      </c>
    </row>
    <row r="35" ht="26" customHeight="1">
      <c r="A35" s="32" t="inlineStr">
        <is>
          <t>Schedule A (Floor Areas) and Schedule B (Structural Openings) are reference schedules and are not priced. Preliminaries, overheads &amp; profit and contingency are applied on the Cover.</t>
        </is>
      </c>
    </row>
  </sheetData>
  <sheetProtection selectLockedCells="0" selectUnlockedCells="0" sheet="1" objects="0" insertRows="1" insertHyperlinks="1" autoFilter="1" scenarios="0" formatColumns="0" deleteColumns="1" insertColumns="1" pivotTables="1" deleteRows="1" formatCells="1" formatRows="0" sort="1"/>
  <mergeCells count="11">
    <mergeCell ref="A33:C33"/>
    <mergeCell ref="A32:C32"/>
    <mergeCell ref="A14:C14"/>
    <mergeCell ref="A22:C22"/>
    <mergeCell ref="A9:C9"/>
    <mergeCell ref="A18:C18"/>
    <mergeCell ref="C1:F1"/>
    <mergeCell ref="A35:F35"/>
    <mergeCell ref="A4:F4"/>
    <mergeCell ref="C2:F2"/>
    <mergeCell ref="A26:C26"/>
  </mergeCells>
  <printOptions horizontalCentered="1"/>
  <pageMargins left="0.75" right="0.75" top="0.7" bottom="0.75" header="0.5" footer="0.5"/>
  <pageSetup orientation="portrait"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L21"/>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1 - Substructure &amp; Frame - ICF Concrete Core</t>
        </is>
      </c>
    </row>
    <row r="2" ht="26" customHeight="1">
      <c r="C2" s="33" t="inlineStr">
        <is>
          <t>Concrete and reinforcement to fill the Nudura ICF walls. The Nudura price covers the formwork only - concrete, reinforcement and pumping are by others.  [NRM2 11 / package FRM]</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1A  In-situ concrete to ICF wall cores (NRM2 11 / package FRM)</t>
        </is>
      </c>
    </row>
    <row r="8" ht="39" customHeight="1">
      <c r="B8" s="34" t="inlineStr">
        <is>
          <t>Ready-mixed concrete placed by pump into Nudura ICF formwork, 152.4 mm (6") core. Mix to the structural engineer's design (typically C25/30, 10 mm max aggregate, S4 slump - confirm). Quantities are net volumes from the model: each wall element envelope x its core band, less opening end caps, lintels and porch-steel pockets. Whole building (both plots poured as one structure on the shared party wall) - per-plot columns not applicable.</t>
        </is>
      </c>
    </row>
    <row r="9" ht="26" customHeight="1">
      <c r="A9" s="10" t="inlineStr">
        <is>
          <t>1A.1</t>
        </is>
      </c>
      <c r="B9" s="10" t="inlineStr">
        <is>
          <t>Concrete core: Foundation ICF (FB), 2 courses to GF FFL</t>
        </is>
      </c>
      <c r="C9" s="10" t="inlineStr">
        <is>
          <t>m3</t>
        </is>
      </c>
      <c r="D9" s="35" t="n"/>
      <c r="E9" s="35" t="n"/>
      <c r="F9" s="35" t="n">
        <v>10.43</v>
      </c>
      <c r="G9" s="36" t="n"/>
      <c r="H9" s="36" t="n"/>
      <c r="I9" s="11">
        <f>F9*G9</f>
        <v/>
      </c>
      <c r="J9" s="11">
        <f>F9*H9</f>
        <v/>
      </c>
      <c r="K9" s="37">
        <f>I9+J9</f>
        <v/>
      </c>
      <c r="L9" s="38" t="inlineStr">
        <is>
          <t>Order guide +5% = 11.0 m3; 2 x 6 m3 loads; 1 pump day</t>
        </is>
      </c>
    </row>
    <row r="10" ht="26" customHeight="1">
      <c r="A10" s="10" t="inlineStr">
        <is>
          <t>1A.2</t>
        </is>
      </c>
      <c r="B10" s="10" t="inlineStr">
        <is>
          <t>Concrete core: Ground floor walls (L1) to 2,743, incl. stair enclosure and porch lobby</t>
        </is>
      </c>
      <c r="C10" s="10" t="inlineStr">
        <is>
          <t>m3</t>
        </is>
      </c>
      <c r="D10" s="35" t="n"/>
      <c r="E10" s="35" t="n"/>
      <c r="F10" s="35" t="n">
        <v>25.45</v>
      </c>
      <c r="G10" s="36" t="n"/>
      <c r="H10" s="36" t="n"/>
      <c r="I10" s="11">
        <f>F10*G10</f>
        <v/>
      </c>
      <c r="J10" s="11">
        <f>F10*H10</f>
        <v/>
      </c>
      <c r="K10" s="37">
        <f>I10+J10</f>
        <v/>
      </c>
      <c r="L10" s="38" t="inlineStr">
        <is>
          <t>Order guide +5% = 26.7 m3; 5 x 6 m3 loads; 1 pump day</t>
        </is>
      </c>
    </row>
    <row r="11" ht="26" customHeight="1">
      <c r="A11" s="10" t="inlineStr">
        <is>
          <t>1A.3</t>
        </is>
      </c>
      <c r="B11" s="10" t="inlineStr">
        <is>
          <t>Concrete core: First floor walls (L2) to eaves 5,250, gables to roof line, party wall to rafter line</t>
        </is>
      </c>
      <c r="C11" s="10" t="inlineStr">
        <is>
          <t>m3</t>
        </is>
      </c>
      <c r="D11" s="35" t="n"/>
      <c r="E11" s="35" t="n"/>
      <c r="F11" s="35" t="n">
        <v>26.36</v>
      </c>
      <c r="G11" s="36" t="n"/>
      <c r="H11" s="36" t="n"/>
      <c r="I11" s="11">
        <f>F11*G11</f>
        <v/>
      </c>
      <c r="J11" s="11">
        <f>F11*H11</f>
        <v/>
      </c>
      <c r="K11" s="37">
        <f>I11+J11</f>
        <v/>
      </c>
      <c r="L11" s="38" t="inlineStr">
        <is>
          <t>Order guide +5% = 27.7 m3; 5 x 6 m3 loads; 1 pump day</t>
        </is>
      </c>
    </row>
    <row r="12">
      <c r="A12" s="30" t="inlineStr">
        <is>
          <t>1B  Reinforcement and associated items (to engineer's design - not measured)</t>
        </is>
      </c>
    </row>
    <row r="13" ht="39" customHeight="1">
      <c r="A13" s="10" t="inlineStr">
        <is>
          <t>1B.1</t>
        </is>
      </c>
      <c r="B13" s="10" t="inlineStr">
        <is>
          <t>Steel reinforcement to ICF wall cores, bars/links/laps to the structural engineer's schedule</t>
        </is>
      </c>
      <c r="C13" s="10" t="inlineStr">
        <is>
          <t>item</t>
        </is>
      </c>
      <c r="D13" s="35" t="n"/>
      <c r="E13" s="35" t="n"/>
      <c r="F13" s="35" t="n"/>
      <c r="G13" s="36" t="n"/>
      <c r="H13" s="36" t="n"/>
      <c r="I13" s="11">
        <f>IF(ISNUMBER(F13),F13,1)*G13</f>
        <v/>
      </c>
      <c r="J13" s="11">
        <f>IF(ISNUMBER(F13),F13,1)*H13</f>
        <v/>
      </c>
      <c r="K13" s="37">
        <f>I13+J13</f>
        <v/>
      </c>
      <c r="L13" s="38" t="inlineStr">
        <is>
          <t>Lump sum - the rate entered is the amount. Not measured - no engineer's design at quotation stage</t>
        </is>
      </c>
    </row>
    <row r="14" ht="26" customHeight="1">
      <c r="A14" s="10" t="inlineStr">
        <is>
          <t>1B.2</t>
        </is>
      </c>
      <c r="B14" s="10" t="inlineStr">
        <is>
          <t>Concrete pump hire, set-up and line (one visit per pour level, 3 levels)</t>
        </is>
      </c>
      <c r="C14" s="10" t="inlineStr">
        <is>
          <t>item</t>
        </is>
      </c>
      <c r="D14" s="35" t="n"/>
      <c r="E14" s="35" t="n"/>
      <c r="F14" s="35" t="n"/>
      <c r="G14" s="36" t="n"/>
      <c r="H14" s="36" t="n"/>
      <c r="I14" s="11">
        <f>IF(ISNUMBER(F14),F14,1)*G14</f>
        <v/>
      </c>
      <c r="J14" s="11">
        <f>IF(ISNUMBER(F14),F14,1)*H14</f>
        <v/>
      </c>
      <c r="K14" s="37">
        <f>I14+J14</f>
        <v/>
      </c>
      <c r="L14" s="38" t="inlineStr">
        <is>
          <t>Lump sum - the rate entered is the amount. Guide: 60 m3 per pump per day; 3 pump visits</t>
        </is>
      </c>
    </row>
    <row r="16" ht="20" customHeight="1">
      <c r="A16" s="23" t="inlineStr">
        <is>
          <t>PACKAGE SUMMARY  -  Bill 1  Substructure &amp; Frame - ICF Concrete Core  (package FRM; amounts by others, excl. VAT)</t>
        </is>
      </c>
    </row>
    <row r="17" ht="28" customHeight="1">
      <c r="A17" s="9" t="inlineStr">
        <is>
          <t>Section</t>
        </is>
      </c>
      <c r="B17" s="9" t="inlineStr">
        <is>
          <t>Description</t>
        </is>
      </c>
      <c r="C17" s="26" t="n"/>
      <c r="D17" s="26" t="n"/>
      <c r="E17" s="26" t="n"/>
      <c r="F17" s="26" t="n"/>
      <c r="G17" s="26" t="n"/>
      <c r="H17" s="27" t="n"/>
      <c r="I17" s="9" t="inlineStr">
        <is>
          <t>Supply
£</t>
        </is>
      </c>
      <c r="J17" s="9" t="inlineStr">
        <is>
          <t>Install
£</t>
        </is>
      </c>
      <c r="K17" s="9" t="inlineStr">
        <is>
          <t>Total
£</t>
        </is>
      </c>
      <c r="L17" s="9" t="inlineStr"/>
    </row>
    <row r="18" ht="16" customHeight="1">
      <c r="A18" s="39" t="inlineStr">
        <is>
          <t>1A</t>
        </is>
      </c>
      <c r="B18" s="10" t="inlineStr">
        <is>
          <t>In-situ concrete to ICF wall cores (NRM2 11 / package FRM)</t>
        </is>
      </c>
      <c r="C18" s="16" t="n"/>
      <c r="D18" s="16" t="n"/>
      <c r="E18" s="16" t="n"/>
      <c r="F18" s="16" t="n"/>
      <c r="G18" s="16" t="n"/>
      <c r="H18" s="16" t="n"/>
      <c r="I18" s="11">
        <f>SUM(I8:I11)</f>
        <v/>
      </c>
      <c r="J18" s="11">
        <f>SUM(J8:J11)</f>
        <v/>
      </c>
      <c r="K18" s="37">
        <f>SUM(K8:K11)</f>
        <v/>
      </c>
    </row>
    <row r="19" ht="16" customHeight="1">
      <c r="A19" s="39" t="inlineStr">
        <is>
          <t>1B</t>
        </is>
      </c>
      <c r="B19" s="10" t="inlineStr">
        <is>
          <t>Reinforcement and associated items (to engineer's design - not measured)</t>
        </is>
      </c>
      <c r="C19" s="16" t="n"/>
      <c r="D19" s="16" t="n"/>
      <c r="E19" s="16" t="n"/>
      <c r="F19" s="16" t="n"/>
      <c r="G19" s="16" t="n"/>
      <c r="H19" s="16" t="n"/>
      <c r="I19" s="11">
        <f>SUM(I13:I14)</f>
        <v/>
      </c>
      <c r="J19" s="11">
        <f>SUM(J13:J14)</f>
        <v/>
      </c>
      <c r="K19" s="37">
        <f>SUM(K13:K14)</f>
        <v/>
      </c>
    </row>
    <row r="20" ht="20" customHeight="1">
      <c r="A20" s="40" t="inlineStr">
        <is>
          <t>PACKAGE TOTAL - Bill 1, carried to the Cover overview</t>
        </is>
      </c>
      <c r="I20" s="13">
        <f>SUM(I18:I19)</f>
        <v/>
      </c>
      <c r="J20" s="13">
        <f>SUM(J18:J19)</f>
        <v/>
      </c>
      <c r="K20" s="13">
        <f>SUM(K18:K19)</f>
        <v/>
      </c>
    </row>
    <row r="21" ht="24" customHeight="1">
      <c r="A21"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12">
    <mergeCell ref="A16:L16"/>
    <mergeCell ref="A21:L21"/>
    <mergeCell ref="A7:L7"/>
    <mergeCell ref="B17:H17"/>
    <mergeCell ref="B18:H18"/>
    <mergeCell ref="B19:H19"/>
    <mergeCell ref="A20:H20"/>
    <mergeCell ref="C2:L2"/>
    <mergeCell ref="C1:L1"/>
    <mergeCell ref="A12:L12"/>
    <mergeCell ref="A4:L4"/>
    <mergeCell ref="B8:L8"/>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L40"/>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2 - External Wall Finishes - Render, Brick Slips &amp; Beads</t>
        </is>
      </c>
    </row>
    <row r="2" ht="26" customHeight="1">
      <c r="C2" s="33" t="inlineStr">
        <is>
          <t>Finishes applied to the outer face of the ICF walls, measured net of openings from the drawn elevations.  [NRM2 21, 28 / package CLD]</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2A  Thin-coat render system over ICF (NRM2 28 / package CLD)</t>
        </is>
      </c>
    </row>
    <row r="8" ht="26" customHeight="1">
      <c r="B8" s="34" t="inlineStr">
        <is>
          <t>Dryvit direct-applied finish over the ICF EPS face: rasp/level EPS, Dryvit Genesis (or Primus) base coat with Dryvit Standard Mesh, Dryvit primer and textured finish (e.g. Sandpebble / Quarzputz), approx. 10 mm. Measured net of openings as drawn; build-up to be confirmed with Dryvit / Tremco technical for the ICF substrate.</t>
        </is>
      </c>
    </row>
    <row r="9" ht="15" customHeight="1">
      <c r="A9" s="10" t="inlineStr">
        <is>
          <t>2A.1</t>
        </is>
      </c>
      <c r="B9" s="10" t="inlineStr">
        <is>
          <t>Render to walls: Front (main + stair-lobby front) elevation</t>
        </is>
      </c>
      <c r="C9" s="10" t="inlineStr">
        <is>
          <t>m2</t>
        </is>
      </c>
      <c r="D9" s="35" t="n">
        <v>16.295</v>
      </c>
      <c r="E9" s="35" t="n">
        <v>16.295</v>
      </c>
      <c r="F9" s="35">
        <f>D9+E9</f>
        <v/>
      </c>
      <c r="G9" s="36" t="n"/>
      <c r="H9" s="36" t="n"/>
      <c r="I9" s="11">
        <f>F9*G9</f>
        <v/>
      </c>
      <c r="J9" s="11">
        <f>F9*H9</f>
        <v/>
      </c>
      <c r="K9" s="37">
        <f>I9+J9</f>
        <v/>
      </c>
      <c r="L9" s="38" t="inlineStr">
        <is>
          <t>Order guide +10% = 35.9</t>
        </is>
      </c>
    </row>
    <row r="10" ht="15" customHeight="1">
      <c r="A10" s="10" t="inlineStr">
        <is>
          <t>2A.2</t>
        </is>
      </c>
      <c r="B10" s="10" t="inlineStr">
        <is>
          <t>Render to walls: Rear elevation</t>
        </is>
      </c>
      <c r="C10" s="10" t="inlineStr">
        <is>
          <t>m2</t>
        </is>
      </c>
      <c r="D10" s="35" t="n">
        <v>33.213</v>
      </c>
      <c r="E10" s="35" t="n">
        <v>33.213</v>
      </c>
      <c r="F10" s="35">
        <f>D10+E10</f>
        <v/>
      </c>
      <c r="G10" s="36" t="n"/>
      <c r="H10" s="36" t="n"/>
      <c r="I10" s="11">
        <f>F10*G10</f>
        <v/>
      </c>
      <c r="J10" s="11">
        <f>F10*H10</f>
        <v/>
      </c>
      <c r="K10" s="37">
        <f>I10+J10</f>
        <v/>
      </c>
      <c r="L10" s="38" t="inlineStr">
        <is>
          <t>Order guide +10% = 73.1</t>
        </is>
      </c>
    </row>
    <row r="11" ht="15" customHeight="1">
      <c r="A11" s="10" t="inlineStr">
        <is>
          <t>2A.3</t>
        </is>
      </c>
      <c r="B11" s="10" t="inlineStr">
        <is>
          <t>Render to walls: Gable (side) elevation</t>
        </is>
      </c>
      <c r="C11" s="10" t="inlineStr">
        <is>
          <t>m2</t>
        </is>
      </c>
      <c r="D11" s="35" t="n">
        <v>24.671</v>
      </c>
      <c r="E11" s="35" t="n">
        <v>24.671</v>
      </c>
      <c r="F11" s="35">
        <f>D11+E11</f>
        <v/>
      </c>
      <c r="G11" s="36" t="n"/>
      <c r="H11" s="36" t="n"/>
      <c r="I11" s="11">
        <f>F11*G11</f>
        <v/>
      </c>
      <c r="J11" s="11">
        <f>F11*H11</f>
        <v/>
      </c>
      <c r="K11" s="37">
        <f>I11+J11</f>
        <v/>
      </c>
      <c r="L11" s="38" t="inlineStr">
        <is>
          <t>Order guide +10% = 54.3</t>
        </is>
      </c>
    </row>
    <row r="12" ht="15" customHeight="1">
      <c r="A12" s="10" t="inlineStr">
        <is>
          <t>2A.4</t>
        </is>
      </c>
      <c r="B12" s="10" t="inlineStr">
        <is>
          <t>Render to reveal returns, jambs and heads, 129 mm girth</t>
        </is>
      </c>
      <c r="C12" s="10" t="inlineStr">
        <is>
          <t>m2</t>
        </is>
      </c>
      <c r="D12" s="35" t="n">
        <v>5.125</v>
      </c>
      <c r="E12" s="35" t="n">
        <v>5.125</v>
      </c>
      <c r="F12" s="35">
        <f>D12+E12</f>
        <v/>
      </c>
      <c r="G12" s="36" t="n"/>
      <c r="H12" s="36" t="n"/>
      <c r="I12" s="11">
        <f>F12*G12</f>
        <v/>
      </c>
      <c r="J12" s="11">
        <f>F12*H12</f>
        <v/>
      </c>
      <c r="K12" s="37">
        <f>I12+J12</f>
        <v/>
      </c>
      <c r="L12" s="38" t="inlineStr">
        <is>
          <t>Order guide +10% = 11.3</t>
        </is>
      </c>
    </row>
    <row r="13">
      <c r="A13" s="30" t="inlineStr">
        <is>
          <t>2B  Brick slip system over ICF (NRM2 21 / package CLD)</t>
        </is>
      </c>
    </row>
    <row r="14" ht="13" customHeight="1">
      <c r="B14" s="34" t="inlineStr">
        <is>
          <t>Monolith brick slip system, adhesive-fixed slips on reinforced base coat over the ICF EPS (or rail / board fixed). Product and fixing to be confirmed with Monolith.</t>
        </is>
      </c>
    </row>
    <row r="15" ht="26" customHeight="1">
      <c r="A15" s="10" t="inlineStr">
        <is>
          <t>2B.1</t>
        </is>
      </c>
      <c r="B15" s="10" t="inlineStr">
        <is>
          <t>Brick slips to walls: Front (main + stair-lobby front) elevation</t>
        </is>
      </c>
      <c r="C15" s="10" t="inlineStr">
        <is>
          <t>m2</t>
        </is>
      </c>
      <c r="D15" s="35" t="n">
        <v>18.221</v>
      </c>
      <c r="E15" s="35" t="n">
        <v>18.221</v>
      </c>
      <c r="F15" s="35">
        <f>D15+E15</f>
        <v/>
      </c>
      <c r="G15" s="36" t="n"/>
      <c r="H15" s="36" t="n"/>
      <c r="I15" s="11">
        <f>F15*G15</f>
        <v/>
      </c>
      <c r="J15" s="11">
        <f>F15*H15</f>
        <v/>
      </c>
      <c r="K15" s="37">
        <f>I15+J15</f>
        <v/>
      </c>
      <c r="L15" s="38" t="inlineStr">
        <is>
          <t>Order guide +10% = 40.1</t>
        </is>
      </c>
    </row>
    <row r="16" ht="15" customHeight="1">
      <c r="A16" s="10" t="inlineStr">
        <is>
          <t>2B.2</t>
        </is>
      </c>
      <c r="B16" s="10" t="inlineStr">
        <is>
          <t>Brick slips to walls: Rear elevation</t>
        </is>
      </c>
      <c r="C16" s="10" t="inlineStr">
        <is>
          <t>m2</t>
        </is>
      </c>
      <c r="D16" s="35" t="n">
        <v>6.947</v>
      </c>
      <c r="E16" s="35" t="n">
        <v>6.947</v>
      </c>
      <c r="F16" s="35">
        <f>D16+E16</f>
        <v/>
      </c>
      <c r="G16" s="36" t="n"/>
      <c r="H16" s="36" t="n"/>
      <c r="I16" s="11">
        <f>F16*G16</f>
        <v/>
      </c>
      <c r="J16" s="11">
        <f>F16*H16</f>
        <v/>
      </c>
      <c r="K16" s="37">
        <f>I16+J16</f>
        <v/>
      </c>
      <c r="L16" s="38" t="inlineStr">
        <is>
          <t>Order guide +10% = 15.3</t>
        </is>
      </c>
    </row>
    <row r="17" ht="15" customHeight="1">
      <c r="A17" s="10" t="inlineStr">
        <is>
          <t>2B.3</t>
        </is>
      </c>
      <c r="B17" s="10" t="inlineStr">
        <is>
          <t>Brick slips to walls: Gable (side) elevation</t>
        </is>
      </c>
      <c r="C17" s="10" t="inlineStr">
        <is>
          <t>m2</t>
        </is>
      </c>
      <c r="D17" s="35" t="n">
        <v>18.473</v>
      </c>
      <c r="E17" s="35" t="n">
        <v>18.473</v>
      </c>
      <c r="F17" s="35">
        <f>D17+E17</f>
        <v/>
      </c>
      <c r="G17" s="36" t="n"/>
      <c r="H17" s="36" t="n"/>
      <c r="I17" s="11">
        <f>F17*G17</f>
        <v/>
      </c>
      <c r="J17" s="11">
        <f>F17*H17</f>
        <v/>
      </c>
      <c r="K17" s="37">
        <f>I17+J17</f>
        <v/>
      </c>
      <c r="L17" s="38" t="inlineStr">
        <is>
          <t>Order guide +10% = 40.6</t>
        </is>
      </c>
    </row>
    <row r="18" ht="26" customHeight="1">
      <c r="A18" s="10" t="inlineStr">
        <is>
          <t>2B.4</t>
        </is>
      </c>
      <c r="B18" s="10" t="inlineStr">
        <is>
          <t>Brick slips to walls: Stair-lobby side wall (porch, site side elev.) elevation</t>
        </is>
      </c>
      <c r="C18" s="10" t="inlineStr">
        <is>
          <t>m2</t>
        </is>
      </c>
      <c r="D18" s="35" t="n">
        <v>3.829</v>
      </c>
      <c r="E18" s="35" t="n">
        <v>3.829</v>
      </c>
      <c r="F18" s="35">
        <f>D18+E18</f>
        <v/>
      </c>
      <c r="G18" s="36" t="n"/>
      <c r="H18" s="36" t="n"/>
      <c r="I18" s="11">
        <f>F18*G18</f>
        <v/>
      </c>
      <c r="J18" s="11">
        <f>F18*H18</f>
        <v/>
      </c>
      <c r="K18" s="37">
        <f>I18+J18</f>
        <v/>
      </c>
      <c r="L18" s="38" t="inlineStr">
        <is>
          <t>Order guide +10% = 8.4; trapezoid from site side elevation (not on 0007)</t>
        </is>
      </c>
    </row>
    <row r="19" ht="26" customHeight="1">
      <c r="A19" s="10" t="inlineStr">
        <is>
          <t>2B.5</t>
        </is>
      </c>
      <c r="B19" s="10" t="inlineStr">
        <is>
          <t>Brick slips to reveal returns, jambs and heads, 144 mm girth</t>
        </is>
      </c>
      <c r="C19" s="10" t="inlineStr">
        <is>
          <t>m2</t>
        </is>
      </c>
      <c r="D19" s="35" t="n">
        <v>3.285</v>
      </c>
      <c r="E19" s="35" t="n">
        <v>3.285</v>
      </c>
      <c r="F19" s="35">
        <f>D19+E19</f>
        <v/>
      </c>
      <c r="G19" s="36" t="n"/>
      <c r="H19" s="36" t="n"/>
      <c r="I19" s="11">
        <f>F19*G19</f>
        <v/>
      </c>
      <c r="J19" s="11">
        <f>F19*H19</f>
        <v/>
      </c>
      <c r="K19" s="37">
        <f>I19+J19</f>
        <v/>
      </c>
      <c r="L19" s="38" t="inlineStr">
        <is>
          <t>Order guide +10% = 7.2</t>
        </is>
      </c>
    </row>
    <row r="20" ht="15" customHeight="1">
      <c r="A20" s="10" t="inlineStr">
        <is>
          <t>2B.6</t>
        </is>
      </c>
      <c r="B20" s="10" t="inlineStr">
        <is>
          <t>Brick slip corner slips, building corners</t>
        </is>
      </c>
      <c r="C20" s="10" t="inlineStr">
        <is>
          <t>m</t>
        </is>
      </c>
      <c r="D20" s="35" t="n">
        <v>7.57</v>
      </c>
      <c r="E20" s="35" t="n">
        <v>7.57</v>
      </c>
      <c r="F20" s="35">
        <f>D20+E20</f>
        <v/>
      </c>
      <c r="G20" s="36" t="n"/>
      <c r="H20" s="36" t="n"/>
      <c r="I20" s="11">
        <f>F20*G20</f>
        <v/>
      </c>
      <c r="J20" s="11">
        <f>F20*H20</f>
        <v/>
      </c>
      <c r="K20" s="37">
        <f>I20+J20</f>
        <v/>
      </c>
      <c r="L20" s="38" t="inlineStr">
        <is>
          <t>Order guide +5% = 15.9</t>
        </is>
      </c>
    </row>
    <row r="21" ht="26" customHeight="1">
      <c r="A21" s="10" t="inlineStr">
        <is>
          <t>2B.7</t>
        </is>
      </c>
      <c r="B21" s="10" t="inlineStr">
        <is>
          <t>Brick slip corner slips, reveals jambs and heads in slip zones</t>
        </is>
      </c>
      <c r="C21" s="10" t="inlineStr">
        <is>
          <t>m</t>
        </is>
      </c>
      <c r="D21" s="35" t="n">
        <v>22.89</v>
      </c>
      <c r="E21" s="35" t="n">
        <v>22.89</v>
      </c>
      <c r="F21" s="35">
        <f>D21+E21</f>
        <v/>
      </c>
      <c r="G21" s="36" t="n"/>
      <c r="H21" s="36" t="n"/>
      <c r="I21" s="11">
        <f>F21*G21</f>
        <v/>
      </c>
      <c r="J21" s="11">
        <f>F21*H21</f>
        <v/>
      </c>
      <c r="K21" s="37">
        <f>I21+J21</f>
        <v/>
      </c>
      <c r="L21" s="38" t="inlineStr">
        <is>
          <t>Order guide +5% = 48.1</t>
        </is>
      </c>
    </row>
    <row r="22" ht="15" customHeight="1">
      <c r="A22" s="10" t="inlineStr">
        <is>
          <t>2B.8</t>
        </is>
      </c>
      <c r="B22" s="10" t="inlineStr">
        <is>
          <t>Brick slip base support / starter</t>
        </is>
      </c>
      <c r="C22" s="10" t="inlineStr">
        <is>
          <t>m</t>
        </is>
      </c>
      <c r="D22" s="35" t="n">
        <v>40.111</v>
      </c>
      <c r="E22" s="35" t="n">
        <v>40.111</v>
      </c>
      <c r="F22" s="35">
        <f>D22+E22</f>
        <v/>
      </c>
      <c r="G22" s="36" t="n"/>
      <c r="H22" s="36" t="n"/>
      <c r="I22" s="11">
        <f>F22*G22</f>
        <v/>
      </c>
      <c r="J22" s="11">
        <f>F22*H22</f>
        <v/>
      </c>
      <c r="K22" s="37">
        <f>I22+J22</f>
        <v/>
      </c>
      <c r="L22" s="38" t="inlineStr">
        <is>
          <t>Order guide +10% = 88.2</t>
        </is>
      </c>
    </row>
    <row r="23">
      <c r="A23" s="30" t="inlineStr">
        <is>
          <t>2C  Render beads and trims (NRM2 28 / package CLD)</t>
        </is>
      </c>
    </row>
    <row r="24" ht="15" customHeight="1">
      <c r="A24" s="10" t="inlineStr">
        <is>
          <t>2C.1</t>
        </is>
      </c>
      <c r="B24" s="10" t="inlineStr">
        <is>
          <t>Render base / starter track</t>
        </is>
      </c>
      <c r="C24" s="10" t="inlineStr">
        <is>
          <t>m</t>
        </is>
      </c>
      <c r="D24" s="35" t="n">
        <v>15.72</v>
      </c>
      <c r="E24" s="35" t="n">
        <v>15.72</v>
      </c>
      <c r="F24" s="35">
        <f>D24+E24</f>
        <v/>
      </c>
      <c r="G24" s="36" t="n"/>
      <c r="H24" s="36" t="n"/>
      <c r="I24" s="11">
        <f>F24*G24</f>
        <v/>
      </c>
      <c r="J24" s="11">
        <f>F24*H24</f>
        <v/>
      </c>
      <c r="K24" s="37">
        <f>I24+J24</f>
        <v/>
      </c>
      <c r="L24" s="38" t="inlineStr">
        <is>
          <t>Order guide +10% = 34.6</t>
        </is>
      </c>
    </row>
    <row r="25" ht="15" customHeight="1">
      <c r="A25" s="10" t="inlineStr">
        <is>
          <t>2C.2</t>
        </is>
      </c>
      <c r="B25" s="10" t="inlineStr">
        <is>
          <t>Render stop bead at render / slip junction</t>
        </is>
      </c>
      <c r="C25" s="10" t="inlineStr">
        <is>
          <t>m</t>
        </is>
      </c>
      <c r="D25" s="35" t="n">
        <v>37.75</v>
      </c>
      <c r="E25" s="35" t="n">
        <v>37.75</v>
      </c>
      <c r="F25" s="35">
        <f>D25+E25</f>
        <v/>
      </c>
      <c r="G25" s="36" t="n"/>
      <c r="H25" s="36" t="n"/>
      <c r="I25" s="11">
        <f>F25*G25</f>
        <v/>
      </c>
      <c r="J25" s="11">
        <f>F25*H25</f>
        <v/>
      </c>
      <c r="K25" s="37">
        <f>I25+J25</f>
        <v/>
      </c>
      <c r="L25" s="38" t="inlineStr">
        <is>
          <t>Order guide +10% = 83.1</t>
        </is>
      </c>
    </row>
    <row r="26" ht="15" customHeight="1">
      <c r="A26" s="10" t="inlineStr">
        <is>
          <t>2C.3</t>
        </is>
      </c>
      <c r="B26" s="10" t="inlineStr">
        <is>
          <t>Render stop bead under eaves / verge / lean-to</t>
        </is>
      </c>
      <c r="C26" s="10" t="inlineStr">
        <is>
          <t>m</t>
        </is>
      </c>
      <c r="D26" s="35" t="n">
        <v>29.14</v>
      </c>
      <c r="E26" s="35" t="n">
        <v>29.14</v>
      </c>
      <c r="F26" s="35">
        <f>D26+E26</f>
        <v/>
      </c>
      <c r="G26" s="36" t="n"/>
      <c r="H26" s="36" t="n"/>
      <c r="I26" s="11">
        <f>F26*G26</f>
        <v/>
      </c>
      <c r="J26" s="11">
        <f>F26*H26</f>
        <v/>
      </c>
      <c r="K26" s="37">
        <f>I26+J26</f>
        <v/>
      </c>
      <c r="L26" s="38" t="inlineStr">
        <is>
          <t>Order guide +10% = 64.1</t>
        </is>
      </c>
    </row>
    <row r="27" ht="15" customHeight="1">
      <c r="A27" s="10" t="inlineStr">
        <is>
          <t>2C.4</t>
        </is>
      </c>
      <c r="B27" s="10" t="inlineStr">
        <is>
          <t>Render stop bead, other edges</t>
        </is>
      </c>
      <c r="C27" s="10" t="inlineStr">
        <is>
          <t>m</t>
        </is>
      </c>
      <c r="D27" s="35" t="n">
        <v>14.62</v>
      </c>
      <c r="E27" s="35" t="n">
        <v>14.62</v>
      </c>
      <c r="F27" s="35">
        <f>D27+E27</f>
        <v/>
      </c>
      <c r="G27" s="36" t="n"/>
      <c r="H27" s="36" t="n"/>
      <c r="I27" s="11">
        <f>F27*G27</f>
        <v/>
      </c>
      <c r="J27" s="11">
        <f>F27*H27</f>
        <v/>
      </c>
      <c r="K27" s="37">
        <f>I27+J27</f>
        <v/>
      </c>
      <c r="L27" s="38" t="inlineStr">
        <is>
          <t>Order guide +10% = 32.2</t>
        </is>
      </c>
    </row>
    <row r="28" ht="15" customHeight="1">
      <c r="A28" s="10" t="inlineStr">
        <is>
          <t>2C.5</t>
        </is>
      </c>
      <c r="B28" s="10" t="inlineStr">
        <is>
          <t>Render external corner bead</t>
        </is>
      </c>
      <c r="C28" s="10" t="inlineStr">
        <is>
          <t>m</t>
        </is>
      </c>
      <c r="D28" s="35" t="n">
        <v>5.1</v>
      </c>
      <c r="E28" s="35" t="n">
        <v>5.1</v>
      </c>
      <c r="F28" s="35">
        <f>D28+E28</f>
        <v/>
      </c>
      <c r="G28" s="36" t="n"/>
      <c r="H28" s="36" t="n"/>
      <c r="I28" s="11">
        <f>F28*G28</f>
        <v/>
      </c>
      <c r="J28" s="11">
        <f>F28*H28</f>
        <v/>
      </c>
      <c r="K28" s="37">
        <f>I28+J28</f>
        <v/>
      </c>
      <c r="L28" s="38" t="inlineStr">
        <is>
          <t>Order guide +10% = 11.2</t>
        </is>
      </c>
    </row>
    <row r="29" ht="15" customHeight="1">
      <c r="A29" s="10" t="inlineStr">
        <is>
          <t>2C.6</t>
        </is>
      </c>
      <c r="B29" s="10" t="inlineStr">
        <is>
          <t>Render reveal bead, jambs and heads in render</t>
        </is>
      </c>
      <c r="C29" s="10" t="inlineStr">
        <is>
          <t>m</t>
        </is>
      </c>
      <c r="D29" s="35" t="n">
        <v>39.87</v>
      </c>
      <c r="E29" s="35" t="n">
        <v>39.87</v>
      </c>
      <c r="F29" s="35">
        <f>D29+E29</f>
        <v/>
      </c>
      <c r="G29" s="36" t="n"/>
      <c r="H29" s="36" t="n"/>
      <c r="I29" s="11">
        <f>F29*G29</f>
        <v/>
      </c>
      <c r="J29" s="11">
        <f>F29*H29</f>
        <v/>
      </c>
      <c r="K29" s="37">
        <f>I29+J29</f>
        <v/>
      </c>
      <c r="L29" s="38" t="inlineStr">
        <is>
          <t>Order guide +10% = 87.7</t>
        </is>
      </c>
    </row>
    <row r="30">
      <c r="A30" s="30" t="inlineStr">
        <is>
          <t>2D  Coordination items (supply by others)</t>
        </is>
      </c>
    </row>
    <row r="31" ht="26" customHeight="1">
      <c r="A31" s="10" t="inlineStr">
        <is>
          <t>2D.1</t>
        </is>
      </c>
      <c r="B31" s="10" t="inlineStr">
        <is>
          <t>External window cills, measured at window width (for coordination with the window package)</t>
        </is>
      </c>
      <c r="C31" s="10" t="inlineStr">
        <is>
          <t>m</t>
        </is>
      </c>
      <c r="D31" s="35" t="n">
        <v>14.24</v>
      </c>
      <c r="E31" s="35" t="n">
        <v>14.24</v>
      </c>
      <c r="F31" s="35">
        <f>D31+E31</f>
        <v/>
      </c>
      <c r="G31" s="36" t="n"/>
      <c r="H31" s="36" t="n"/>
      <c r="I31" s="11">
        <f>F31*G31</f>
        <v/>
      </c>
      <c r="J31" s="11">
        <f>F31*H31</f>
        <v/>
      </c>
      <c r="K31" s="37">
        <f>I31+J31</f>
        <v/>
      </c>
      <c r="L31" s="38" t="inlineStr">
        <is>
          <t>By window supplier - quantity for coordination only</t>
        </is>
      </c>
    </row>
    <row r="33" ht="20" customHeight="1">
      <c r="A33" s="23" t="inlineStr">
        <is>
          <t>PACKAGE SUMMARY  -  Bill 2  External Wall Finishes - Render, Brick Slips &amp; Beads  (package CLD; amounts by others, excl. VAT)</t>
        </is>
      </c>
    </row>
    <row r="34" ht="28" customHeight="1">
      <c r="A34" s="9" t="inlineStr">
        <is>
          <t>Section</t>
        </is>
      </c>
      <c r="B34" s="9" t="inlineStr">
        <is>
          <t>Description</t>
        </is>
      </c>
      <c r="C34" s="26" t="n"/>
      <c r="D34" s="26" t="n"/>
      <c r="E34" s="26" t="n"/>
      <c r="F34" s="26" t="n"/>
      <c r="G34" s="26" t="n"/>
      <c r="H34" s="27" t="n"/>
      <c r="I34" s="9" t="inlineStr">
        <is>
          <t>Supply
£</t>
        </is>
      </c>
      <c r="J34" s="9" t="inlineStr">
        <is>
          <t>Install
£</t>
        </is>
      </c>
      <c r="K34" s="9" t="inlineStr">
        <is>
          <t>Total
£</t>
        </is>
      </c>
      <c r="L34" s="9" t="inlineStr"/>
    </row>
    <row r="35" ht="16" customHeight="1">
      <c r="A35" s="39" t="inlineStr">
        <is>
          <t>2A</t>
        </is>
      </c>
      <c r="B35" s="10" t="inlineStr">
        <is>
          <t>Thin-coat render system over ICF (NRM2 28 / package CLD)</t>
        </is>
      </c>
      <c r="C35" s="16" t="n"/>
      <c r="D35" s="16" t="n"/>
      <c r="E35" s="16" t="n"/>
      <c r="F35" s="16" t="n"/>
      <c r="G35" s="16" t="n"/>
      <c r="H35" s="16" t="n"/>
      <c r="I35" s="11">
        <f>SUM(I8:I12)</f>
        <v/>
      </c>
      <c r="J35" s="11">
        <f>SUM(J8:J12)</f>
        <v/>
      </c>
      <c r="K35" s="37">
        <f>SUM(K8:K12)</f>
        <v/>
      </c>
    </row>
    <row r="36" ht="16" customHeight="1">
      <c r="A36" s="39" t="inlineStr">
        <is>
          <t>2B</t>
        </is>
      </c>
      <c r="B36" s="10" t="inlineStr">
        <is>
          <t>Brick slip system over ICF (NRM2 21 / package CLD)</t>
        </is>
      </c>
      <c r="C36" s="16" t="n"/>
      <c r="D36" s="16" t="n"/>
      <c r="E36" s="16" t="n"/>
      <c r="F36" s="16" t="n"/>
      <c r="G36" s="16" t="n"/>
      <c r="H36" s="16" t="n"/>
      <c r="I36" s="11">
        <f>SUM(I14:I22)</f>
        <v/>
      </c>
      <c r="J36" s="11">
        <f>SUM(J14:J22)</f>
        <v/>
      </c>
      <c r="K36" s="37">
        <f>SUM(K14:K22)</f>
        <v/>
      </c>
    </row>
    <row r="37" ht="16" customHeight="1">
      <c r="A37" s="39" t="inlineStr">
        <is>
          <t>2C</t>
        </is>
      </c>
      <c r="B37" s="10" t="inlineStr">
        <is>
          <t>Render beads and trims (NRM2 28 / package CLD)</t>
        </is>
      </c>
      <c r="C37" s="16" t="n"/>
      <c r="D37" s="16" t="n"/>
      <c r="E37" s="16" t="n"/>
      <c r="F37" s="16" t="n"/>
      <c r="G37" s="16" t="n"/>
      <c r="H37" s="16" t="n"/>
      <c r="I37" s="11">
        <f>SUM(I24:I29)</f>
        <v/>
      </c>
      <c r="J37" s="11">
        <f>SUM(J24:J29)</f>
        <v/>
      </c>
      <c r="K37" s="37">
        <f>SUM(K24:K29)</f>
        <v/>
      </c>
    </row>
    <row r="38" ht="16" customHeight="1">
      <c r="A38" s="39" t="inlineStr">
        <is>
          <t>2D</t>
        </is>
      </c>
      <c r="B38" s="10" t="inlineStr">
        <is>
          <t>Coordination items (supply by others)</t>
        </is>
      </c>
      <c r="C38" s="16" t="n"/>
      <c r="D38" s="16" t="n"/>
      <c r="E38" s="16" t="n"/>
      <c r="F38" s="16" t="n"/>
      <c r="G38" s="16" t="n"/>
      <c r="H38" s="16" t="n"/>
      <c r="I38" s="11">
        <f>SUM(I31:I31)</f>
        <v/>
      </c>
      <c r="J38" s="11">
        <f>SUM(J31:J31)</f>
        <v/>
      </c>
      <c r="K38" s="37">
        <f>SUM(K31:K31)</f>
        <v/>
      </c>
    </row>
    <row r="39" ht="20" customHeight="1">
      <c r="A39" s="40" t="inlineStr">
        <is>
          <t>PACKAGE TOTAL - Bill 2, carried to the Cover overview</t>
        </is>
      </c>
      <c r="I39" s="13">
        <f>SUM(I35:I38)</f>
        <v/>
      </c>
      <c r="J39" s="13">
        <f>SUM(J35:J38)</f>
        <v/>
      </c>
      <c r="K39" s="13">
        <f>SUM(K35:K38)</f>
        <v/>
      </c>
    </row>
    <row r="40" ht="24" customHeight="1">
      <c r="A40"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17">
    <mergeCell ref="A30:L30"/>
    <mergeCell ref="B36:H36"/>
    <mergeCell ref="A7:L7"/>
    <mergeCell ref="A39:H39"/>
    <mergeCell ref="A33:L33"/>
    <mergeCell ref="B35:H35"/>
    <mergeCell ref="A23:L23"/>
    <mergeCell ref="A13:L13"/>
    <mergeCell ref="B38:H38"/>
    <mergeCell ref="A40:L40"/>
    <mergeCell ref="B37:H37"/>
    <mergeCell ref="B14:L14"/>
    <mergeCell ref="C2:L2"/>
    <mergeCell ref="B34:H34"/>
    <mergeCell ref="C1:L1"/>
    <mergeCell ref="A4:L4"/>
    <mergeCell ref="B8:L8"/>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L43"/>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3 - Internal Linings - Plasterboard, Tape, Beads &amp; Skim</t>
        </is>
      </c>
    </row>
    <row r="2" ht="26" customHeight="1">
      <c r="C2" s="33" t="inlineStr">
        <is>
          <t>Dry linings to the inside faces of the ICF walls, partitions, ceilings and reveals.  [NRM2 28 / package DRY]</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3A  Plasterboard wall linings (NRM2 28 / package DRY)</t>
        </is>
      </c>
    </row>
    <row r="8" ht="26" customHeight="1">
      <c r="B8" s="34" t="inlineStr">
        <is>
          <t>Measured net (openings deducted) on the finished faces, per plot (GF flat + FF flat). Floor zone 2,575-2,850 excluded except the stair-well band. Board types are proposals - confirm with the board supplier; ICF faces need mechanical fixings.</t>
        </is>
      </c>
    </row>
    <row r="9" ht="39" customHeight="1">
      <c r="A9" s="10" t="inlineStr">
        <is>
          <t>3A.1</t>
        </is>
      </c>
      <c r="B9" s="10" t="inlineStr">
        <is>
          <t>GF external walls - internal face (ICF): 12.5 mm wallboard, screw-fixed to ICF web strips / dabs + mech. fixings (MR board in bathroom)</t>
        </is>
      </c>
      <c r="C9" s="10" t="inlineStr">
        <is>
          <t>m2</t>
        </is>
      </c>
      <c r="D9" s="35" t="n">
        <v>47.416</v>
      </c>
      <c r="E9" s="35" t="n">
        <v>47.416</v>
      </c>
      <c r="F9" s="35">
        <f>D9+E9</f>
        <v/>
      </c>
      <c r="G9" s="36" t="n"/>
      <c r="H9" s="36" t="n"/>
      <c r="I9" s="11">
        <f>F9*G9</f>
        <v/>
      </c>
      <c r="J9" s="11">
        <f>F9*H9</f>
        <v/>
      </c>
      <c r="K9" s="37">
        <f>I9+J9</f>
        <v/>
      </c>
      <c r="L9" s="38" t="inlineStr">
        <is>
          <t>perimeter 23.89 m x 2.575 m; excludes floor zone 2,575-2,850; layers 1</t>
        </is>
      </c>
    </row>
    <row r="10" ht="26" customHeight="1">
      <c r="A10" s="10" t="inlineStr">
        <is>
          <t>3A.2</t>
        </is>
      </c>
      <c r="B10" s="10" t="inlineStr">
        <is>
          <t>GF party wall - this flat side: 15 mm fire-rated (Type F) board on dabs/battens</t>
        </is>
      </c>
      <c r="C10" s="10" t="inlineStr">
        <is>
          <t>m2</t>
        </is>
      </c>
      <c r="D10" s="35" t="n">
        <v>18.617</v>
      </c>
      <c r="E10" s="35" t="n">
        <v>18.617</v>
      </c>
      <c r="F10" s="35">
        <f>D10+E10</f>
        <v/>
      </c>
      <c r="G10" s="36" t="n"/>
      <c r="H10" s="36" t="n"/>
      <c r="I10" s="11">
        <f>F10*G10</f>
        <v/>
      </c>
      <c r="J10" s="11">
        <f>F10*H10</f>
        <v/>
      </c>
      <c r="K10" s="37">
        <f>I10+J10</f>
        <v/>
      </c>
      <c r="L10" s="38" t="inlineStr">
        <is>
          <t>7.23 m x 2.575; layers 1</t>
        </is>
      </c>
    </row>
    <row r="11" ht="26" customHeight="1">
      <c r="A11" s="10" t="inlineStr">
        <is>
          <t>3A.3</t>
        </is>
      </c>
      <c r="B11" s="10" t="inlineStr">
        <is>
          <t>GF stair-enclosure walls (6in Std) - both faces: 15 mm fire-rated (Type F) board</t>
        </is>
      </c>
      <c r="C11" s="10" t="inlineStr">
        <is>
          <t>m2</t>
        </is>
      </c>
      <c r="D11" s="35" t="n">
        <v>28.098</v>
      </c>
      <c r="E11" s="35" t="n">
        <v>28.098</v>
      </c>
      <c r="F11" s="35">
        <f>D11+E11</f>
        <v/>
      </c>
      <c r="G11" s="36" t="n"/>
      <c r="H11" s="36" t="n"/>
      <c r="I11" s="11">
        <f>F11*G11</f>
        <v/>
      </c>
      <c r="J11" s="11">
        <f>F11*H11</f>
        <v/>
      </c>
      <c r="K11" s="37">
        <f>I11+J11</f>
        <v/>
      </c>
      <c r="L11" s="38" t="inlineStr">
        <is>
          <t>12.38 m (all room faces) x 2.575; W_c door deducted both faces; layers 1</t>
        </is>
      </c>
    </row>
    <row r="12" ht="26" customHeight="1">
      <c r="A12" s="10" t="inlineStr">
        <is>
          <t>3A.4</t>
        </is>
      </c>
      <c r="B12" s="10" t="inlineStr">
        <is>
          <t>GF timber partitions - both faces: 15 mm board on 38x89 studs (per LE_partitions build-up); MR in bathroom</t>
        </is>
      </c>
      <c r="C12" s="10" t="inlineStr">
        <is>
          <t>m2</t>
        </is>
      </c>
      <c r="D12" s="35" t="n">
        <v>67.78</v>
      </c>
      <c r="E12" s="35" t="n">
        <v>67.78</v>
      </c>
      <c r="F12" s="35">
        <f>D12+E12</f>
        <v/>
      </c>
      <c r="G12" s="36" t="n"/>
      <c r="H12" s="36" t="n"/>
      <c r="I12" s="11">
        <f>F12*G12</f>
        <v/>
      </c>
      <c r="J12" s="11">
        <f>F12*H12</f>
        <v/>
      </c>
      <c r="K12" s="37">
        <f>I12+J12</f>
        <v/>
      </c>
      <c r="L12" s="38" t="inlineStr">
        <is>
          <t>34.07 m of room faces x 2.575; layers 1</t>
        </is>
      </c>
    </row>
    <row r="13" ht="15" customHeight="1">
      <c r="A13" s="10" t="inlineStr">
        <is>
          <t>3A.5</t>
        </is>
      </c>
      <c r="B13" s="10" t="inlineStr">
        <is>
          <t>GF riser boxing - room face: 12.5 mm MR board on 38x47</t>
        </is>
      </c>
      <c r="C13" s="10" t="inlineStr">
        <is>
          <t>m2</t>
        </is>
      </c>
      <c r="D13" s="35" t="n">
        <v>2.575</v>
      </c>
      <c r="E13" s="35" t="n">
        <v>2.575</v>
      </c>
      <c r="F13" s="35">
        <f>D13+E13</f>
        <v/>
      </c>
      <c r="G13" s="36" t="n"/>
      <c r="H13" s="36" t="n"/>
      <c r="I13" s="11">
        <f>F13*G13</f>
        <v/>
      </c>
      <c r="J13" s="11">
        <f>F13*H13</f>
        <v/>
      </c>
      <c r="K13" s="37">
        <f>I13+J13</f>
        <v/>
      </c>
      <c r="L13" s="38" t="inlineStr">
        <is>
          <t>1.00 m x 2.575; layers 1</t>
        </is>
      </c>
    </row>
    <row r="14" ht="39" customHeight="1">
      <c r="A14" s="10" t="inlineStr">
        <is>
          <t>3A.6</t>
        </is>
      </c>
      <c r="B14" s="10" t="inlineStr">
        <is>
          <t>FF external walls - internal face (ICF): 12.5 mm wallboard, screw-fixed to ICF web strips / dabs + mech. fixings (MR board in bathroom)</t>
        </is>
      </c>
      <c r="C14" s="10" t="inlineStr">
        <is>
          <t>m2</t>
        </is>
      </c>
      <c r="D14" s="35" t="n">
        <v>45.297</v>
      </c>
      <c r="E14" s="35" t="n">
        <v>45.297</v>
      </c>
      <c r="F14" s="35">
        <f>D14+E14</f>
        <v/>
      </c>
      <c r="G14" s="36" t="n"/>
      <c r="H14" s="36" t="n"/>
      <c r="I14" s="11">
        <f>F14*G14</f>
        <v/>
      </c>
      <c r="J14" s="11">
        <f>F14*H14</f>
        <v/>
      </c>
      <c r="K14" s="37">
        <f>I14+J14</f>
        <v/>
      </c>
      <c r="L14" s="38" t="inlineStr">
        <is>
          <t>perimeter 22.21 m x 2.450 m; excludes floor zone 2,575-2,850; layers 1</t>
        </is>
      </c>
    </row>
    <row r="15" ht="26" customHeight="1">
      <c r="A15" s="10" t="inlineStr">
        <is>
          <t>3A.7</t>
        </is>
      </c>
      <c r="B15" s="10" t="inlineStr">
        <is>
          <t>FF party wall - this flat side: 15 mm fire-rated (Type F) board on dabs/battens</t>
        </is>
      </c>
      <c r="C15" s="10" t="inlineStr">
        <is>
          <t>m2</t>
        </is>
      </c>
      <c r="D15" s="35" t="n">
        <v>13.745</v>
      </c>
      <c r="E15" s="35" t="n">
        <v>13.745</v>
      </c>
      <c r="F15" s="35">
        <f>D15+E15</f>
        <v/>
      </c>
      <c r="G15" s="36" t="n"/>
      <c r="H15" s="36" t="n"/>
      <c r="I15" s="11">
        <f>F15*G15</f>
        <v/>
      </c>
      <c r="J15" s="11">
        <f>F15*H15</f>
        <v/>
      </c>
      <c r="K15" s="37">
        <f>I15+J15</f>
        <v/>
      </c>
      <c r="L15" s="38" t="inlineStr">
        <is>
          <t>5.61 m x 2.450; layers 1</t>
        </is>
      </c>
    </row>
    <row r="16" ht="26" customHeight="1">
      <c r="A16" s="10" t="inlineStr">
        <is>
          <t>3A.8</t>
        </is>
      </c>
      <c r="B16" s="10" t="inlineStr">
        <is>
          <t>FF stair-enclosure walls (6in Std) - both faces: 15 mm fire-rated (Type F) board</t>
        </is>
      </c>
      <c r="C16" s="10" t="inlineStr">
        <is>
          <t>m2</t>
        </is>
      </c>
      <c r="D16" s="35" t="n">
        <v>23.716</v>
      </c>
      <c r="E16" s="35" t="n">
        <v>23.716</v>
      </c>
      <c r="F16" s="35">
        <f>D16+E16</f>
        <v/>
      </c>
      <c r="G16" s="36" t="n"/>
      <c r="H16" s="36" t="n"/>
      <c r="I16" s="11">
        <f>F16*G16</f>
        <v/>
      </c>
      <c r="J16" s="11">
        <f>F16*H16</f>
        <v/>
      </c>
      <c r="K16" s="37">
        <f>I16+J16</f>
        <v/>
      </c>
      <c r="L16" s="38" t="inlineStr">
        <is>
          <t>9.68 m (all room faces) x 2.450; W_c door deducted both faces; layers 1</t>
        </is>
      </c>
    </row>
    <row r="17" ht="26" customHeight="1">
      <c r="A17" s="10" t="inlineStr">
        <is>
          <t>3A.9</t>
        </is>
      </c>
      <c r="B17" s="10" t="inlineStr">
        <is>
          <t>FF timber partitions - both faces: 15 mm board on 38x89 studs (per LE_partitions build-up); MR in bathroom</t>
        </is>
      </c>
      <c r="C17" s="10" t="inlineStr">
        <is>
          <t>m2</t>
        </is>
      </c>
      <c r="D17" s="35" t="n">
        <v>63.214</v>
      </c>
      <c r="E17" s="35" t="n">
        <v>63.214</v>
      </c>
      <c r="F17" s="35">
        <f>D17+E17</f>
        <v/>
      </c>
      <c r="G17" s="36" t="n"/>
      <c r="H17" s="36" t="n"/>
      <c r="I17" s="11">
        <f>F17*G17</f>
        <v/>
      </c>
      <c r="J17" s="11">
        <f>F17*H17</f>
        <v/>
      </c>
      <c r="K17" s="37">
        <f>I17+J17</f>
        <v/>
      </c>
      <c r="L17" s="38" t="inlineStr">
        <is>
          <t>34.99 m of room faces x 2.450; layers 1</t>
        </is>
      </c>
    </row>
    <row r="18" ht="15" customHeight="1">
      <c r="A18" s="10" t="inlineStr">
        <is>
          <t>3A.10</t>
        </is>
      </c>
      <c r="B18" s="10" t="inlineStr">
        <is>
          <t>FF riser boxing - room face: 12.5 mm MR board on 38x47</t>
        </is>
      </c>
      <c r="C18" s="10" t="inlineStr">
        <is>
          <t>m2</t>
        </is>
      </c>
      <c r="D18" s="35" t="n">
        <v>2.45</v>
      </c>
      <c r="E18" s="35" t="n">
        <v>2.45</v>
      </c>
      <c r="F18" s="35">
        <f>D18+E18</f>
        <v/>
      </c>
      <c r="G18" s="36" t="n"/>
      <c r="H18" s="36" t="n"/>
      <c r="I18" s="11">
        <f>F18*G18</f>
        <v/>
      </c>
      <c r="J18" s="11">
        <f>F18*H18</f>
        <v/>
      </c>
      <c r="K18" s="37">
        <f>I18+J18</f>
        <v/>
      </c>
      <c r="L18" s="38" t="inlineStr">
        <is>
          <t>1.00 m x 2.450; layers 1</t>
        </is>
      </c>
    </row>
    <row r="19" ht="26" customHeight="1">
      <c r="A19" s="10" t="inlineStr">
        <is>
          <t>3A.11</t>
        </is>
      </c>
      <c r="B19" s="10" t="inlineStr">
        <is>
          <t>Stair-well floor-zone band (2,575-2,850): 15 mm fire-rated board</t>
        </is>
      </c>
      <c r="C19" s="10" t="inlineStr">
        <is>
          <t>m2</t>
        </is>
      </c>
      <c r="D19" s="35" t="n">
        <v>1.273</v>
      </c>
      <c r="E19" s="35" t="n">
        <v>1.273</v>
      </c>
      <c r="F19" s="35">
        <f>D19+E19</f>
        <v/>
      </c>
      <c r="G19" s="36" t="n"/>
      <c r="H19" s="36" t="n"/>
      <c r="I19" s="11">
        <f>F19*G19</f>
        <v/>
      </c>
      <c r="J19" s="11">
        <f>F19*H19</f>
        <v/>
      </c>
      <c r="K19" s="37">
        <f>I19+J19</f>
        <v/>
      </c>
      <c r="L19" s="38" t="inlineStr">
        <is>
          <t>W_a + party + front faces of the void x 275; layers 1</t>
        </is>
      </c>
    </row>
    <row r="20" ht="26" customHeight="1">
      <c r="A20" s="10" t="inlineStr">
        <is>
          <t>3A.12</t>
        </is>
      </c>
      <c r="B20" s="10" t="inlineStr">
        <is>
          <t>Internal reveals (jambs + heads, ext. openings): 12.5 mm board / bonding + skim</t>
        </is>
      </c>
      <c r="C20" s="10" t="inlineStr">
        <is>
          <t>m2</t>
        </is>
      </c>
      <c r="D20" s="35" t="n">
        <v>12.211</v>
      </c>
      <c r="E20" s="35" t="n">
        <v>12.211</v>
      </c>
      <c r="F20" s="35">
        <f>D20+E20</f>
        <v/>
      </c>
      <c r="G20" s="36" t="n"/>
      <c r="H20" s="36" t="n"/>
      <c r="I20" s="11">
        <f>F20*G20</f>
        <v/>
      </c>
      <c r="J20" s="11">
        <f>F20*H20</f>
        <v/>
      </c>
      <c r="K20" s="37">
        <f>I20+J20</f>
        <v/>
      </c>
      <c r="L20" s="38" t="inlineStr">
        <is>
          <t>62.76 m x 195 mm; layers 1</t>
        </is>
      </c>
    </row>
    <row r="21">
      <c r="A21" s="30" t="inlineStr">
        <is>
          <t>3B  Plasterboard ceilings (NRM2 28 / package DRY)</t>
        </is>
      </c>
    </row>
    <row r="22" ht="13" customHeight="1">
      <c r="B22" s="34" t="inlineStr">
        <is>
          <t>GF ceiling is the separating floor between the GF and FF flats (60 min fire + acoustic, ADB / ADE): 2 layers. Quantities are net areas of ceiling; multiply by layers for board.</t>
        </is>
      </c>
    </row>
    <row r="23" ht="39" customHeight="1">
      <c r="A23" s="10" t="inlineStr">
        <is>
          <t>3B.1</t>
        </is>
      </c>
      <c r="B23" s="10" t="inlineStr">
        <is>
          <t>GF ceilings (u/s FF separating floor): 2 x 15 mm fire/acoustic board (e.g. SoundBloc/FireLine) on resilient bars - separating floor GF/FF flat</t>
        </is>
      </c>
      <c r="C23" s="10" t="inlineStr">
        <is>
          <t>m2</t>
        </is>
      </c>
      <c r="D23" s="35" t="n">
        <v>45.53</v>
      </c>
      <c r="E23" s="35" t="n">
        <v>45.53</v>
      </c>
      <c r="F23" s="35">
        <f>D23+E23</f>
        <v/>
      </c>
      <c r="G23" s="36" t="n"/>
      <c r="H23" s="36" t="n"/>
      <c r="I23" s="11">
        <f>F23*G23</f>
        <v/>
      </c>
      <c r="J23" s="11">
        <f>F23*H23</f>
        <v/>
      </c>
      <c r="K23" s="37">
        <f>I23+J23</f>
        <v/>
      </c>
      <c r="L23" s="38" t="inlineStr">
        <is>
          <t>GF flat rooms; stair foot is under the FF stair-well (in FF ceiling); layers 2 (board 182.1 m2)</t>
        </is>
      </c>
    </row>
    <row r="24" ht="26" customHeight="1">
      <c r="A24" s="10" t="inlineStr">
        <is>
          <t>3B.2</t>
        </is>
      </c>
      <c r="B24" s="10" t="inlineStr">
        <is>
          <t>GF store ceiling = stair soffit: 2 x 15 mm fire-rated (60 min soffit to FF flat stair over GF flat)</t>
        </is>
      </c>
      <c r="C24" s="10" t="inlineStr">
        <is>
          <t>m2</t>
        </is>
      </c>
      <c r="D24" s="35" t="n">
        <v>3.24</v>
      </c>
      <c r="E24" s="35" t="n">
        <v>3.24</v>
      </c>
      <c r="F24" s="35">
        <f>D24+E24</f>
        <v/>
      </c>
      <c r="G24" s="36" t="n"/>
      <c r="H24" s="36" t="n"/>
      <c r="I24" s="11">
        <f>F24*G24</f>
        <v/>
      </c>
      <c r="J24" s="11">
        <f>F24*H24</f>
        <v/>
      </c>
      <c r="K24" s="37">
        <f>I24+J24</f>
        <v/>
      </c>
      <c r="L24" s="38" t="inlineStr">
        <is>
          <t>plan area; layers 2 (board 13.0 m2)</t>
        </is>
      </c>
    </row>
    <row r="25" ht="26" customHeight="1">
      <c r="A25" s="10" t="inlineStr">
        <is>
          <t>3B.3</t>
        </is>
      </c>
      <c r="B25" s="10" t="inlineStr">
        <is>
          <t>GF stair-lobby ceiling (u/s lean-to): 12.5 mm board under lean-to rafters</t>
        </is>
      </c>
      <c r="C25" s="10" t="inlineStr">
        <is>
          <t>m2</t>
        </is>
      </c>
      <c r="D25" s="35" t="n">
        <v>2.094</v>
      </c>
      <c r="E25" s="35" t="n">
        <v>2.094</v>
      </c>
      <c r="F25" s="35">
        <f>D25+E25</f>
        <v/>
      </c>
      <c r="G25" s="36" t="n"/>
      <c r="H25" s="36" t="n"/>
      <c r="I25" s="11">
        <f>F25*G25</f>
        <v/>
      </c>
      <c r="J25" s="11">
        <f>F25*H25</f>
        <v/>
      </c>
      <c r="K25" s="37">
        <f>I25+J25</f>
        <v/>
      </c>
      <c r="L25" s="38" t="inlineStr">
        <is>
          <t>lobby 1,460 x 1,320 on slope 23 deg; layers 1 (board 4.2 m2)</t>
        </is>
      </c>
    </row>
    <row r="26" ht="26" customHeight="1">
      <c r="A26" s="10" t="inlineStr">
        <is>
          <t>3B.4</t>
        </is>
      </c>
      <c r="B26" s="10" t="inlineStr">
        <is>
          <t>FF ceilings (u/s trusses ~5,300): 12.5 mm board + VCL (15 mm Type F if BCO requires) under bottom chords</t>
        </is>
      </c>
      <c r="C26" s="10" t="inlineStr">
        <is>
          <t>m2</t>
        </is>
      </c>
      <c r="D26" s="35" t="n">
        <v>49.81</v>
      </c>
      <c r="E26" s="35" t="n">
        <v>49.81</v>
      </c>
      <c r="F26" s="35">
        <f>D26+E26</f>
        <v/>
      </c>
      <c r="G26" s="36" t="n"/>
      <c r="H26" s="36" t="n"/>
      <c r="I26" s="11">
        <f>F26*G26</f>
        <v/>
      </c>
      <c r="J26" s="11">
        <f>F26*H26</f>
        <v/>
      </c>
      <c r="K26" s="37">
        <f>I26+J26</f>
        <v/>
      </c>
      <c r="L26" s="38" t="inlineStr">
        <is>
          <t>incl. stair-well void area; layers 1 (board 99.6 m2)</t>
        </is>
      </c>
    </row>
    <row r="27">
      <c r="A27" s="30" t="inlineStr">
        <is>
          <t>3C  Jointing, beads and skim (NRM2 28 / package DRY)</t>
        </is>
      </c>
    </row>
    <row r="28" ht="15" customHeight="1">
      <c r="A28" s="10" t="inlineStr">
        <is>
          <t>3C.1</t>
        </is>
      </c>
      <c r="B28" s="10" t="inlineStr">
        <is>
          <t>Scrim tape, board joints</t>
        </is>
      </c>
      <c r="C28" s="10" t="inlineStr">
        <is>
          <t>m</t>
        </is>
      </c>
      <c r="D28" s="35" t="n">
        <v>397.835</v>
      </c>
      <c r="E28" s="35" t="n">
        <v>397.835</v>
      </c>
      <c r="F28" s="35">
        <f>D28+E28</f>
        <v/>
      </c>
      <c r="G28" s="36" t="n"/>
      <c r="H28" s="36" t="n"/>
      <c r="I28" s="11">
        <f>F28*G28</f>
        <v/>
      </c>
      <c r="J28" s="11">
        <f>F28*H28</f>
        <v/>
      </c>
      <c r="K28" s="37">
        <f>I28+J28</f>
        <v/>
      </c>
      <c r="L28" s="38" t="inlineStr">
        <is>
          <t>Order guide +10% = 875.2</t>
        </is>
      </c>
    </row>
    <row r="29" ht="15" customHeight="1">
      <c r="A29" s="10" t="inlineStr">
        <is>
          <t>3C.2</t>
        </is>
      </c>
      <c r="B29" s="10" t="inlineStr">
        <is>
          <t>Scrim tape, internal angles wall-wall</t>
        </is>
      </c>
      <c r="C29" s="10" t="inlineStr">
        <is>
          <t>m</t>
        </is>
      </c>
      <c r="D29" s="35" t="n">
        <v>183.6</v>
      </c>
      <c r="E29" s="35" t="n">
        <v>183.6</v>
      </c>
      <c r="F29" s="35">
        <f>D29+E29</f>
        <v/>
      </c>
      <c r="G29" s="36" t="n"/>
      <c r="H29" s="36" t="n"/>
      <c r="I29" s="11">
        <f>F29*G29</f>
        <v/>
      </c>
      <c r="J29" s="11">
        <f>F29*H29</f>
        <v/>
      </c>
      <c r="K29" s="37">
        <f>I29+J29</f>
        <v/>
      </c>
      <c r="L29" s="38" t="inlineStr">
        <is>
          <t>Order guide +10% = 403.9</t>
        </is>
      </c>
    </row>
    <row r="30" ht="15" customHeight="1">
      <c r="A30" s="10" t="inlineStr">
        <is>
          <t>3C.3</t>
        </is>
      </c>
      <c r="B30" s="10" t="inlineStr">
        <is>
          <t>Scrim tape, wall-ceiling angles</t>
        </is>
      </c>
      <c r="C30" s="10" t="inlineStr">
        <is>
          <t>m</t>
        </is>
      </c>
      <c r="D30" s="35" t="n">
        <v>152.01</v>
      </c>
      <c r="E30" s="35" t="n">
        <v>152.01</v>
      </c>
      <c r="F30" s="35">
        <f>D30+E30</f>
        <v/>
      </c>
      <c r="G30" s="36" t="n"/>
      <c r="H30" s="36" t="n"/>
      <c r="I30" s="11">
        <f>F30*G30</f>
        <v/>
      </c>
      <c r="J30" s="11">
        <f>F30*H30</f>
        <v/>
      </c>
      <c r="K30" s="37">
        <f>I30+J30</f>
        <v/>
      </c>
      <c r="L30" s="38" t="inlineStr">
        <is>
          <t>Order guide +10% = 334.4</t>
        </is>
      </c>
    </row>
    <row r="31" ht="15" customHeight="1">
      <c r="A31" s="10" t="inlineStr">
        <is>
          <t>3C.4</t>
        </is>
      </c>
      <c r="B31" s="10" t="inlineStr">
        <is>
          <t>Corner bead, external corners in rooms</t>
        </is>
      </c>
      <c r="C31" s="10" t="inlineStr">
        <is>
          <t>m</t>
        </is>
      </c>
      <c r="D31" s="35" t="n">
        <v>32.6</v>
      </c>
      <c r="E31" s="35" t="n">
        <v>32.6</v>
      </c>
      <c r="F31" s="35">
        <f>D31+E31</f>
        <v/>
      </c>
      <c r="G31" s="36" t="n"/>
      <c r="H31" s="36" t="n"/>
      <c r="I31" s="11">
        <f>F31*G31</f>
        <v/>
      </c>
      <c r="J31" s="11">
        <f>F31*H31</f>
        <v/>
      </c>
      <c r="K31" s="37">
        <f>I31+J31</f>
        <v/>
      </c>
      <c r="L31" s="38" t="inlineStr">
        <is>
          <t>Order guide +10% = 71.7</t>
        </is>
      </c>
    </row>
    <row r="32" ht="15" customHeight="1">
      <c r="A32" s="10" t="inlineStr">
        <is>
          <t>3C.5</t>
        </is>
      </c>
      <c r="B32" s="10" t="inlineStr">
        <is>
          <t>Corner bead, window/door reveals</t>
        </is>
      </c>
      <c r="C32" s="10" t="inlineStr">
        <is>
          <t>m</t>
        </is>
      </c>
      <c r="D32" s="35" t="n">
        <v>62.76</v>
      </c>
      <c r="E32" s="35" t="n">
        <v>62.76</v>
      </c>
      <c r="F32" s="35">
        <f>D32+E32</f>
        <v/>
      </c>
      <c r="G32" s="36" t="n"/>
      <c r="H32" s="36" t="n"/>
      <c r="I32" s="11">
        <f>F32*G32</f>
        <v/>
      </c>
      <c r="J32" s="11">
        <f>F32*H32</f>
        <v/>
      </c>
      <c r="K32" s="37">
        <f>I32+J32</f>
        <v/>
      </c>
      <c r="L32" s="38" t="inlineStr">
        <is>
          <t>Order guide +10% = 138.1</t>
        </is>
      </c>
    </row>
    <row r="33" ht="15" customHeight="1">
      <c r="A33" s="10" t="inlineStr">
        <is>
          <t>3C.6</t>
        </is>
      </c>
      <c r="B33" s="10" t="inlineStr">
        <is>
          <t>Skim coat; skim to all net wall, reveal and ceiling faces</t>
        </is>
      </c>
      <c r="C33" s="10" t="inlineStr">
        <is>
          <t>m2</t>
        </is>
      </c>
      <c r="D33" s="35" t="n">
        <v>427.065</v>
      </c>
      <c r="E33" s="35" t="n">
        <v>427.065</v>
      </c>
      <c r="F33" s="35">
        <f>D33+E33</f>
        <v/>
      </c>
      <c r="G33" s="36" t="n"/>
      <c r="H33" s="36" t="n"/>
      <c r="I33" s="11">
        <f>F33*G33</f>
        <v/>
      </c>
      <c r="J33" s="11">
        <f>F33*H33</f>
        <v/>
      </c>
      <c r="K33" s="37">
        <f>I33+J33</f>
        <v/>
      </c>
      <c r="L33" s="38" t="inlineStr">
        <is>
          <t>Face layer only</t>
        </is>
      </c>
    </row>
    <row r="34">
      <c r="A34" s="30" t="inlineStr">
        <is>
          <t>3D  Ordering guide (not a measured item)</t>
        </is>
      </c>
    </row>
    <row r="35" ht="26" customHeight="1">
      <c r="A35" s="41" t="inlineStr">
        <is>
          <t>3D.1</t>
        </is>
      </c>
      <c r="B35" s="41" t="inlineStr">
        <is>
          <t>Plasterboard to purchase, all types, including second ceiling layers, before waste</t>
        </is>
      </c>
      <c r="C35" s="41" t="inlineStr">
        <is>
          <t>m2</t>
        </is>
      </c>
      <c r="D35" s="42" t="n">
        <v>475.835</v>
      </c>
      <c r="E35" s="42" t="n">
        <v>475.835</v>
      </c>
      <c r="F35" s="42">
        <f>D35+E35</f>
        <v/>
      </c>
      <c r="G35" s="43" t="n"/>
      <c r="H35" s="43" t="n"/>
      <c r="I35" s="43" t="n"/>
      <c r="J35" s="43" t="n"/>
      <c r="K35" s="44" t="inlineStr">
        <is>
          <t>not priced</t>
        </is>
      </c>
      <c r="L35" s="45" t="inlineStr">
        <is>
          <t>Order guide +10% = 1,046.8 (guide only)</t>
        </is>
      </c>
    </row>
    <row r="37" ht="20" customHeight="1">
      <c r="A37" s="23" t="inlineStr">
        <is>
          <t>PACKAGE SUMMARY  -  Bill 3  Internal Linings - Plasterboard, Tape, Beads &amp; Skim  (package DRY; amounts by others, excl. VAT)</t>
        </is>
      </c>
    </row>
    <row r="38" ht="28" customHeight="1">
      <c r="A38" s="9" t="inlineStr">
        <is>
          <t>Section</t>
        </is>
      </c>
      <c r="B38" s="9" t="inlineStr">
        <is>
          <t>Description</t>
        </is>
      </c>
      <c r="C38" s="26" t="n"/>
      <c r="D38" s="26" t="n"/>
      <c r="E38" s="26" t="n"/>
      <c r="F38" s="26" t="n"/>
      <c r="G38" s="26" t="n"/>
      <c r="H38" s="27" t="n"/>
      <c r="I38" s="9" t="inlineStr">
        <is>
          <t>Supply
£</t>
        </is>
      </c>
      <c r="J38" s="9" t="inlineStr">
        <is>
          <t>Install
£</t>
        </is>
      </c>
      <c r="K38" s="9" t="inlineStr">
        <is>
          <t>Total
£</t>
        </is>
      </c>
      <c r="L38" s="9" t="inlineStr"/>
    </row>
    <row r="39" ht="16" customHeight="1">
      <c r="A39" s="39" t="inlineStr">
        <is>
          <t>3A</t>
        </is>
      </c>
      <c r="B39" s="10" t="inlineStr">
        <is>
          <t>Plasterboard wall linings (NRM2 28 / package DRY)</t>
        </is>
      </c>
      <c r="C39" s="16" t="n"/>
      <c r="D39" s="16" t="n"/>
      <c r="E39" s="16" t="n"/>
      <c r="F39" s="16" t="n"/>
      <c r="G39" s="16" t="n"/>
      <c r="H39" s="16" t="n"/>
      <c r="I39" s="11">
        <f>SUM(I8:I20)</f>
        <v/>
      </c>
      <c r="J39" s="11">
        <f>SUM(J8:J20)</f>
        <v/>
      </c>
      <c r="K39" s="37">
        <f>SUM(K8:K20)</f>
        <v/>
      </c>
    </row>
    <row r="40" ht="16" customHeight="1">
      <c r="A40" s="39" t="inlineStr">
        <is>
          <t>3B</t>
        </is>
      </c>
      <c r="B40" s="10" t="inlineStr">
        <is>
          <t>Plasterboard ceilings (NRM2 28 / package DRY)</t>
        </is>
      </c>
      <c r="C40" s="16" t="n"/>
      <c r="D40" s="16" t="n"/>
      <c r="E40" s="16" t="n"/>
      <c r="F40" s="16" t="n"/>
      <c r="G40" s="16" t="n"/>
      <c r="H40" s="16" t="n"/>
      <c r="I40" s="11">
        <f>SUM(I22:I26)</f>
        <v/>
      </c>
      <c r="J40" s="11">
        <f>SUM(J22:J26)</f>
        <v/>
      </c>
      <c r="K40" s="37">
        <f>SUM(K22:K26)</f>
        <v/>
      </c>
    </row>
    <row r="41" ht="16" customHeight="1">
      <c r="A41" s="39" t="inlineStr">
        <is>
          <t>3C</t>
        </is>
      </c>
      <c r="B41" s="10" t="inlineStr">
        <is>
          <t>Jointing, beads and skim (NRM2 28 / package DRY)</t>
        </is>
      </c>
      <c r="C41" s="16" t="n"/>
      <c r="D41" s="16" t="n"/>
      <c r="E41" s="16" t="n"/>
      <c r="F41" s="16" t="n"/>
      <c r="G41" s="16" t="n"/>
      <c r="H41" s="16" t="n"/>
      <c r="I41" s="11">
        <f>SUM(I28:I33)</f>
        <v/>
      </c>
      <c r="J41" s="11">
        <f>SUM(J28:J33)</f>
        <v/>
      </c>
      <c r="K41" s="37">
        <f>SUM(K28:K33)</f>
        <v/>
      </c>
    </row>
    <row r="42" ht="20" customHeight="1">
      <c r="A42" s="40" t="inlineStr">
        <is>
          <t>PACKAGE TOTAL - Bill 3, carried to the Cover overview</t>
        </is>
      </c>
      <c r="I42" s="13">
        <f>SUM(I39:I41)</f>
        <v/>
      </c>
      <c r="J42" s="13">
        <f>SUM(J39:J41)</f>
        <v/>
      </c>
      <c r="K42" s="13">
        <f>SUM(K39:K41)</f>
        <v/>
      </c>
    </row>
    <row r="43" ht="24" customHeight="1">
      <c r="A43"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16">
    <mergeCell ref="A27:L27"/>
    <mergeCell ref="A21:L21"/>
    <mergeCell ref="A7:L7"/>
    <mergeCell ref="B40:H40"/>
    <mergeCell ref="B41:H41"/>
    <mergeCell ref="A43:L43"/>
    <mergeCell ref="A37:L37"/>
    <mergeCell ref="A34:L34"/>
    <mergeCell ref="B39:H39"/>
    <mergeCell ref="A42:H42"/>
    <mergeCell ref="B38:H38"/>
    <mergeCell ref="B22:L22"/>
    <mergeCell ref="C2:L2"/>
    <mergeCell ref="C1:L1"/>
    <mergeCell ref="A4:L4"/>
    <mergeCell ref="B8:L8"/>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L38"/>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4 - Internal Doors &amp; Ironmongery</t>
        </is>
      </c>
    </row>
    <row r="2" ht="26" customHeight="1">
      <c r="C2" s="33" t="inlineStr">
        <is>
          <t>Internal doorsets and ironmongery per plot; external doorsets listed for coordination only.  [NRM2 24 / package JOI]</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4A  Internal doorsets (NRM2 24 / package JOI)</t>
        </is>
      </c>
    </row>
    <row r="8" ht="26" customHeight="1">
      <c r="B8" s="34" t="inlineStr">
        <is>
          <t>Leaves from the plan door gaps: 910 -&gt; 826 x 2040; 810 -&gt; 726; 610 -&gt; 526; 1,210 -&gt; pair (cupboard, confirm). Linings 32 mm x (wall + 13). Internal doors non-rated (FF floor below 4.5 m, ADB Vol 1) except the under-stair store door.</t>
        </is>
      </c>
    </row>
    <row r="9" ht="26" customHeight="1">
      <c r="A9" s="10" t="inlineStr">
        <is>
          <t>4A.1</t>
        </is>
      </c>
      <c r="B9" s="10" t="inlineStr">
        <is>
          <t>ID01 GF Hall / Bedroom 1: 1 x leaf 826 x 2040 x 35, 32 x 132 lining set (partition 119), non-rated</t>
        </is>
      </c>
      <c r="C9" s="10" t="inlineStr">
        <is>
          <t>nr</t>
        </is>
      </c>
      <c r="D9" s="35" t="n">
        <v>1</v>
      </c>
      <c r="E9" s="35" t="n">
        <v>1</v>
      </c>
      <c r="F9" s="35">
        <f>D9+E9</f>
        <v/>
      </c>
      <c r="G9" s="36" t="n"/>
      <c r="H9" s="36" t="n"/>
      <c r="I9" s="11">
        <f>F9*G9</f>
        <v/>
      </c>
      <c r="J9" s="11">
        <f>F9*H9</f>
        <v/>
      </c>
      <c r="K9" s="37">
        <f>I9+J9</f>
        <v/>
      </c>
      <c r="L9" s="38" t="inlineStr">
        <is>
          <t>Gap 910 mm; wall G1</t>
        </is>
      </c>
    </row>
    <row r="10" ht="26" customHeight="1">
      <c r="A10" s="10" t="inlineStr">
        <is>
          <t>4A.2</t>
        </is>
      </c>
      <c r="B10" s="10" t="inlineStr">
        <is>
          <t>ID02 GF Living/Kitchen / Hall: 1 x leaf 826 x 2040 x 35, 32 x 132 lining set (partition 119), non-rated</t>
        </is>
      </c>
      <c r="C10" s="10" t="inlineStr">
        <is>
          <t>nr</t>
        </is>
      </c>
      <c r="D10" s="35" t="n">
        <v>1</v>
      </c>
      <c r="E10" s="35" t="n">
        <v>1</v>
      </c>
      <c r="F10" s="35">
        <f>D10+E10</f>
        <v/>
      </c>
      <c r="G10" s="36" t="n"/>
      <c r="H10" s="36" t="n"/>
      <c r="I10" s="11">
        <f>F10*G10</f>
        <v/>
      </c>
      <c r="J10" s="11">
        <f>F10*H10</f>
        <v/>
      </c>
      <c r="K10" s="37">
        <f>I10+J10</f>
        <v/>
      </c>
      <c r="L10" s="38" t="inlineStr">
        <is>
          <t>Gap 910 mm; wall G2</t>
        </is>
      </c>
    </row>
    <row r="11" ht="26" customHeight="1">
      <c r="A11" s="10" t="inlineStr">
        <is>
          <t>4A.3</t>
        </is>
      </c>
      <c r="B11" s="10" t="inlineStr">
        <is>
          <t>ID03 GF Bathroom / Hall: 1 x leaf 826 x 2040 x 35, 32 x 132 lining set (partition 119), non-rated</t>
        </is>
      </c>
      <c r="C11" s="10" t="inlineStr">
        <is>
          <t>nr</t>
        </is>
      </c>
      <c r="D11" s="35" t="n">
        <v>1</v>
      </c>
      <c r="E11" s="35" t="n">
        <v>1</v>
      </c>
      <c r="F11" s="35">
        <f>D11+E11</f>
        <v/>
      </c>
      <c r="G11" s="36" t="n"/>
      <c r="H11" s="36" t="n"/>
      <c r="I11" s="11">
        <f>F11*G11</f>
        <v/>
      </c>
      <c r="J11" s="11">
        <f>F11*H11</f>
        <v/>
      </c>
      <c r="K11" s="37">
        <f>I11+J11</f>
        <v/>
      </c>
      <c r="L11" s="38" t="inlineStr">
        <is>
          <t>Gap 910 mm; wall G5</t>
        </is>
      </c>
    </row>
    <row r="12" ht="39" customHeight="1">
      <c r="A12" s="10" t="inlineStr">
        <is>
          <t>4A.4</t>
        </is>
      </c>
      <c r="B12" s="10" t="inlineStr">
        <is>
          <t>ID04 GF Hall / A/C / Laundry: 2 x leaf pair 2 x 533 x 1981 (or 2 x 526 x 2040), 32 x 132 lining set (partition 119), non-rated</t>
        </is>
      </c>
      <c r="C12" s="10" t="inlineStr">
        <is>
          <t>nr</t>
        </is>
      </c>
      <c r="D12" s="35" t="n">
        <v>1</v>
      </c>
      <c r="E12" s="35" t="n">
        <v>1</v>
      </c>
      <c r="F12" s="35">
        <f>D12+E12</f>
        <v/>
      </c>
      <c r="G12" s="36" t="n"/>
      <c r="H12" s="36" t="n"/>
      <c r="I12" s="11">
        <f>F12*G12</f>
        <v/>
      </c>
      <c r="J12" s="11">
        <f>F12*H12</f>
        <v/>
      </c>
      <c r="K12" s="37">
        <f>I12+J12</f>
        <v/>
      </c>
      <c r="L12" s="38" t="inlineStr">
        <is>
          <t>Gap 1210 mm; wall G6</t>
        </is>
      </c>
    </row>
    <row r="13" ht="39" customHeight="1">
      <c r="A13" s="10" t="inlineStr">
        <is>
          <t>4A.5</t>
        </is>
      </c>
      <c r="B13" s="10" t="inlineStr">
        <is>
          <t>ID05 GF Cupboard (G8/G9, unlabelled) / Living/Kitchen: 1 x leaf 726 x 2040 x 35, 32 x 132 lining set (partition 119), non-rated</t>
        </is>
      </c>
      <c r="C13" s="10" t="inlineStr">
        <is>
          <t>nr</t>
        </is>
      </c>
      <c r="D13" s="35" t="n">
        <v>1</v>
      </c>
      <c r="E13" s="35" t="n">
        <v>1</v>
      </c>
      <c r="F13" s="35">
        <f>D13+E13</f>
        <v/>
      </c>
      <c r="G13" s="36" t="n"/>
      <c r="H13" s="36" t="n"/>
      <c r="I13" s="11">
        <f>F13*G13</f>
        <v/>
      </c>
      <c r="J13" s="11">
        <f>F13*H13</f>
        <v/>
      </c>
      <c r="K13" s="37">
        <f>I13+J13</f>
        <v/>
      </c>
      <c r="L13" s="38" t="inlineStr">
        <is>
          <t>Gap 810 mm; wall G8</t>
        </is>
      </c>
    </row>
    <row r="14" ht="39" customHeight="1">
      <c r="A14" s="10" t="inlineStr">
        <is>
          <t>4A.6</t>
        </is>
      </c>
      <c r="B14" s="10" t="inlineStr">
        <is>
          <t>ID06 FF Hall + landing (incl. stair well) / Bedroom 1: 1 x leaf 826 x 2040 x 35, 32 x 132 lining set (partition 119), non-rated</t>
        </is>
      </c>
      <c r="C14" s="10" t="inlineStr">
        <is>
          <t>nr</t>
        </is>
      </c>
      <c r="D14" s="35" t="n">
        <v>1</v>
      </c>
      <c r="E14" s="35" t="n">
        <v>1</v>
      </c>
      <c r="F14" s="35">
        <f>D14+E14</f>
        <v/>
      </c>
      <c r="G14" s="36" t="n"/>
      <c r="H14" s="36" t="n"/>
      <c r="I14" s="11">
        <f>F14*G14</f>
        <v/>
      </c>
      <c r="J14" s="11">
        <f>F14*H14</f>
        <v/>
      </c>
      <c r="K14" s="37">
        <f>I14+J14</f>
        <v/>
      </c>
      <c r="L14" s="38" t="inlineStr">
        <is>
          <t>Gap 910 mm; wall F1</t>
        </is>
      </c>
    </row>
    <row r="15" ht="39" customHeight="1">
      <c r="A15" s="10" t="inlineStr">
        <is>
          <t>4A.7</t>
        </is>
      </c>
      <c r="B15" s="10" t="inlineStr">
        <is>
          <t>ID07 FF Living/Kitchen / Hall + landing (incl. stair well): 1 x leaf 826 x 2040 x 35, 32 x 132 lining set (partition 119), non-rated</t>
        </is>
      </c>
      <c r="C15" s="10" t="inlineStr">
        <is>
          <t>nr</t>
        </is>
      </c>
      <c r="D15" s="35" t="n">
        <v>1</v>
      </c>
      <c r="E15" s="35" t="n">
        <v>1</v>
      </c>
      <c r="F15" s="35">
        <f>D15+E15</f>
        <v/>
      </c>
      <c r="G15" s="36" t="n"/>
      <c r="H15" s="36" t="n"/>
      <c r="I15" s="11">
        <f>F15*G15</f>
        <v/>
      </c>
      <c r="J15" s="11">
        <f>F15*H15</f>
        <v/>
      </c>
      <c r="K15" s="37">
        <f>I15+J15</f>
        <v/>
      </c>
      <c r="L15" s="38" t="inlineStr">
        <is>
          <t>Gap 910 mm; wall F2</t>
        </is>
      </c>
    </row>
    <row r="16" ht="39" customHeight="1">
      <c r="A16" s="10" t="inlineStr">
        <is>
          <t>4A.8</t>
        </is>
      </c>
      <c r="B16" s="10" t="inlineStr">
        <is>
          <t>ID08 FF Bathroom / Hall + landing (incl. stair well): 1 x leaf 826 x 2040 x 35, 32 x 132 lining set (partition 119), non-rated</t>
        </is>
      </c>
      <c r="C16" s="10" t="inlineStr">
        <is>
          <t>nr</t>
        </is>
      </c>
      <c r="D16" s="35" t="n">
        <v>1</v>
      </c>
      <c r="E16" s="35" t="n">
        <v>1</v>
      </c>
      <c r="F16" s="35">
        <f>D16+E16</f>
        <v/>
      </c>
      <c r="G16" s="36" t="n"/>
      <c r="H16" s="36" t="n"/>
      <c r="I16" s="11">
        <f>F16*G16</f>
        <v/>
      </c>
      <c r="J16" s="11">
        <f>F16*H16</f>
        <v/>
      </c>
      <c r="K16" s="37">
        <f>I16+J16</f>
        <v/>
      </c>
      <c r="L16" s="38" t="inlineStr">
        <is>
          <t>Gap 910 mm; wall F3</t>
        </is>
      </c>
    </row>
    <row r="17" ht="39" customHeight="1">
      <c r="A17" s="10" t="inlineStr">
        <is>
          <t>4A.9</t>
        </is>
      </c>
      <c r="B17" s="10" t="inlineStr">
        <is>
          <t>ID09 FF Cupboard (F6/F7, unlabelled) / Living/Kitchen: 1 x leaf 726 x 2040 x 35, 32 x 132 lining set (partition 119), non-rated</t>
        </is>
      </c>
      <c r="C17" s="10" t="inlineStr">
        <is>
          <t>nr</t>
        </is>
      </c>
      <c r="D17" s="35" t="n">
        <v>1</v>
      </c>
      <c r="E17" s="35" t="n">
        <v>1</v>
      </c>
      <c r="F17" s="35">
        <f>D17+E17</f>
        <v/>
      </c>
      <c r="G17" s="36" t="n"/>
      <c r="H17" s="36" t="n"/>
      <c r="I17" s="11">
        <f>F17*G17</f>
        <v/>
      </c>
      <c r="J17" s="11">
        <f>F17*H17</f>
        <v/>
      </c>
      <c r="K17" s="37">
        <f>I17+J17</f>
        <v/>
      </c>
      <c r="L17" s="38" t="inlineStr">
        <is>
          <t>Gap 810 mm; wall F6</t>
        </is>
      </c>
    </row>
    <row r="18" ht="39" customHeight="1">
      <c r="A18" s="10" t="inlineStr">
        <is>
          <t>4A.10</t>
        </is>
      </c>
      <c r="B18" s="10" t="inlineStr">
        <is>
          <t>ID10 FF Hall + landing (incl. stair well) / Store: 1 x leaf 526 x 2040 x 35, 32 x 132 lining set (partition 119), non-rated</t>
        </is>
      </c>
      <c r="C18" s="10" t="inlineStr">
        <is>
          <t>nr</t>
        </is>
      </c>
      <c r="D18" s="35" t="n">
        <v>1</v>
      </c>
      <c r="E18" s="35" t="n">
        <v>1</v>
      </c>
      <c r="F18" s="35">
        <f>D18+E18</f>
        <v/>
      </c>
      <c r="G18" s="36" t="n"/>
      <c r="H18" s="36" t="n"/>
      <c r="I18" s="11">
        <f>F18*G18</f>
        <v/>
      </c>
      <c r="J18" s="11">
        <f>F18*H18</f>
        <v/>
      </c>
      <c r="K18" s="37">
        <f>I18+J18</f>
        <v/>
      </c>
      <c r="L18" s="38" t="inlineStr">
        <is>
          <t>Gap 610 mm; wall F8</t>
        </is>
      </c>
    </row>
    <row r="19" ht="39" customHeight="1">
      <c r="A19" s="10" t="inlineStr">
        <is>
          <t>4A.11</t>
        </is>
      </c>
      <c r="B19" s="10" t="inlineStr">
        <is>
          <t>ID11 FF A/C / Laundry / Hall + landing (incl. stair well): 2 x leaf pair 2 x 533 x 1981 (or 2 x 526 x 2040), 32 x 132 lining set (partition 119), non-rated</t>
        </is>
      </c>
      <c r="C19" s="10" t="inlineStr">
        <is>
          <t>nr</t>
        </is>
      </c>
      <c r="D19" s="35" t="n">
        <v>1</v>
      </c>
      <c r="E19" s="35" t="n">
        <v>1</v>
      </c>
      <c r="F19" s="35">
        <f>D19+E19</f>
        <v/>
      </c>
      <c r="G19" s="36" t="n"/>
      <c r="H19" s="36" t="n"/>
      <c r="I19" s="11">
        <f>F19*G19</f>
        <v/>
      </c>
      <c r="J19" s="11">
        <f>F19*H19</f>
        <v/>
      </c>
      <c r="K19" s="37">
        <f>I19+J19</f>
        <v/>
      </c>
      <c r="L19" s="38" t="inlineStr">
        <is>
          <t>Gap 1210 mm; wall F9</t>
        </is>
      </c>
    </row>
    <row r="20" ht="39" customHeight="1">
      <c r="A20" s="10" t="inlineStr">
        <is>
          <t>4A.12</t>
        </is>
      </c>
      <c r="B20" s="10" t="inlineStr">
        <is>
          <t>ID12 GF Hall / Store (under stair, via W_c): 1 x leaf 826 x 2040 x 35, ICF reveal: 32 x 315 lining (6in Std 285.75 + boards), FD30S self-closing (confirm with BCO)</t>
        </is>
      </c>
      <c r="C20" s="10" t="inlineStr">
        <is>
          <t>nr</t>
        </is>
      </c>
      <c r="D20" s="35" t="n">
        <v>1</v>
      </c>
      <c r="E20" s="35" t="n">
        <v>1</v>
      </c>
      <c r="F20" s="35">
        <f>D20+E20</f>
        <v/>
      </c>
      <c r="G20" s="36" t="n"/>
      <c r="H20" s="36" t="n"/>
      <c r="I20" s="11">
        <f>F20*G20</f>
        <v/>
      </c>
      <c r="J20" s="11">
        <f>F20*H20</f>
        <v/>
      </c>
      <c r="K20" s="37">
        <f>I20+J20</f>
        <v/>
      </c>
      <c r="L20" s="38" t="inlineStr">
        <is>
          <t>Gap 900 mm; wall W_c (ICF 6in Std)</t>
        </is>
      </c>
    </row>
    <row r="21">
      <c r="A21" s="30" t="inlineStr">
        <is>
          <t>4B  Ironmongery (NRM2 24 / package JOI)</t>
        </is>
      </c>
    </row>
    <row r="22" ht="15" customHeight="1">
      <c r="A22" s="10" t="inlineStr">
        <is>
          <t>4B.1</t>
        </is>
      </c>
      <c r="B22" s="10" t="inlineStr">
        <is>
          <t>Butt hinges, pairs (1.5 pair per leaf)</t>
        </is>
      </c>
      <c r="C22" s="10" t="inlineStr">
        <is>
          <t>pr</t>
        </is>
      </c>
      <c r="D22" s="35" t="n">
        <v>21</v>
      </c>
      <c r="E22" s="35" t="n">
        <v>21</v>
      </c>
      <c r="F22" s="35">
        <f>D22+E22</f>
        <v/>
      </c>
      <c r="G22" s="36" t="n"/>
      <c r="H22" s="36" t="n"/>
      <c r="I22" s="11">
        <f>F22*G22</f>
        <v/>
      </c>
      <c r="J22" s="11">
        <f>F22*H22</f>
        <v/>
      </c>
      <c r="K22" s="37">
        <f>I22+J22</f>
        <v/>
      </c>
      <c r="L22" s="38" t="inlineStr">
        <is>
          <t>14 leaves per plot</t>
        </is>
      </c>
    </row>
    <row r="23" ht="15" customHeight="1">
      <c r="A23" s="10" t="inlineStr">
        <is>
          <t>4B.2</t>
        </is>
      </c>
      <c r="B23" s="10" t="inlineStr">
        <is>
          <t>Standard sets: tubular latch and lever pair</t>
        </is>
      </c>
      <c r="C23" s="10" t="inlineStr">
        <is>
          <t>set</t>
        </is>
      </c>
      <c r="D23" s="35" t="n">
        <v>4</v>
      </c>
      <c r="E23" s="35" t="n">
        <v>4</v>
      </c>
      <c r="F23" s="35">
        <f>D23+E23</f>
        <v/>
      </c>
      <c r="G23" s="36" t="n"/>
      <c r="H23" s="36" t="n"/>
      <c r="I23" s="11">
        <f>F23*G23</f>
        <v/>
      </c>
      <c r="J23" s="11">
        <f>F23*H23</f>
        <v/>
      </c>
      <c r="K23" s="37">
        <f>I23+J23</f>
        <v/>
      </c>
      <c r="L23" s="38" t="inlineStr"/>
    </row>
    <row r="24" ht="15" customHeight="1">
      <c r="A24" s="10" t="inlineStr">
        <is>
          <t>4B.3</t>
        </is>
      </c>
      <c r="B24" s="10" t="inlineStr">
        <is>
          <t>Bathroom sets: privacy lock, lever pair, emergency release</t>
        </is>
      </c>
      <c r="C24" s="10" t="inlineStr">
        <is>
          <t>set</t>
        </is>
      </c>
      <c r="D24" s="35" t="n">
        <v>2</v>
      </c>
      <c r="E24" s="35" t="n">
        <v>2</v>
      </c>
      <c r="F24" s="35">
        <f>D24+E24</f>
        <v/>
      </c>
      <c r="G24" s="36" t="n"/>
      <c r="H24" s="36" t="n"/>
      <c r="I24" s="11">
        <f>F24*G24</f>
        <v/>
      </c>
      <c r="J24" s="11">
        <f>F24*H24</f>
        <v/>
      </c>
      <c r="K24" s="37">
        <f>I24+J24</f>
        <v/>
      </c>
      <c r="L24" s="38" t="inlineStr"/>
    </row>
    <row r="25" ht="15" customHeight="1">
      <c r="A25" s="10" t="inlineStr">
        <is>
          <t>4B.4</t>
        </is>
      </c>
      <c r="B25" s="10" t="inlineStr">
        <is>
          <t>Cupboard sets: catch and pull (flush bolt to pairs)</t>
        </is>
      </c>
      <c r="C25" s="10" t="inlineStr">
        <is>
          <t>pr</t>
        </is>
      </c>
      <c r="D25" s="35" t="n">
        <v>5</v>
      </c>
      <c r="E25" s="35" t="n">
        <v>5</v>
      </c>
      <c r="F25" s="35">
        <f>D25+E25</f>
        <v/>
      </c>
      <c r="G25" s="36" t="n"/>
      <c r="H25" s="36" t="n"/>
      <c r="I25" s="11">
        <f>F25*G25</f>
        <v/>
      </c>
      <c r="J25" s="11">
        <f>F25*H25</f>
        <v/>
      </c>
      <c r="K25" s="37">
        <f>I25+J25</f>
        <v/>
      </c>
      <c r="L25" s="38" t="inlineStr">
        <is>
          <t>Doorsets; 7 leaves</t>
        </is>
      </c>
    </row>
    <row r="26" ht="26" customHeight="1">
      <c r="A26" s="10" t="inlineStr">
        <is>
          <t>4B.5</t>
        </is>
      </c>
      <c r="B26" s="10" t="inlineStr">
        <is>
          <t>FD30S sets: rated hinges, overhead closer, intumescent and smoke seals, signage</t>
        </is>
      </c>
      <c r="C26" s="10" t="inlineStr">
        <is>
          <t>set</t>
        </is>
      </c>
      <c r="D26" s="35" t="n">
        <v>1</v>
      </c>
      <c r="E26" s="35" t="n">
        <v>1</v>
      </c>
      <c r="F26" s="35">
        <f>D26+E26</f>
        <v/>
      </c>
      <c r="G26" s="36" t="n"/>
      <c r="H26" s="36" t="n"/>
      <c r="I26" s="11">
        <f>F26*G26</f>
        <v/>
      </c>
      <c r="J26" s="11">
        <f>F26*H26</f>
        <v/>
      </c>
      <c r="K26" s="37">
        <f>I26+J26</f>
        <v/>
      </c>
      <c r="L26" s="38" t="inlineStr">
        <is>
          <t>Under-stair store - precaution, confirm with Building Control</t>
        </is>
      </c>
    </row>
    <row r="27">
      <c r="A27" s="30" t="inlineStr">
        <is>
          <t>4C  External doorsets (for information - supply by others)</t>
        </is>
      </c>
    </row>
    <row r="28" ht="26" customHeight="1">
      <c r="A28" s="10" t="inlineStr">
        <is>
          <t>4C.1</t>
        </is>
      </c>
      <c r="B28" s="10" t="inlineStr">
        <is>
          <t>GF flat entrance door (XD02), 1040 x 2100 structural opening, Front elevation; PAS 24 / SBD external doorset</t>
        </is>
      </c>
      <c r="C28" s="10" t="inlineStr">
        <is>
          <t>nr</t>
        </is>
      </c>
      <c r="D28" s="35" t="n">
        <v>1</v>
      </c>
      <c r="E28" s="35" t="n">
        <v>1</v>
      </c>
      <c r="F28" s="35">
        <f>D28+E28</f>
        <v/>
      </c>
      <c r="G28" s="36" t="n"/>
      <c r="H28" s="36" t="n"/>
      <c r="I28" s="11">
        <f>F28*G28</f>
        <v/>
      </c>
      <c r="J28" s="11">
        <f>F28*H28</f>
        <v/>
      </c>
      <c r="K28" s="37">
        <f>I28+J28</f>
        <v/>
      </c>
      <c r="L28" s="38" t="inlineStr">
        <is>
          <t>Window / door package - coordination only</t>
        </is>
      </c>
    </row>
    <row r="29" ht="39" customHeight="1">
      <c r="A29" s="10" t="inlineStr">
        <is>
          <t>4C.2</t>
        </is>
      </c>
      <c r="B29" s="10" t="inlineStr">
        <is>
          <t>FF flat entrance door, stair lobby (WG01), 1040 x 2100 structural opening, Stair-lobby front elevation; PAS 24 / SBD external doorset</t>
        </is>
      </c>
      <c r="C29" s="10" t="inlineStr">
        <is>
          <t>nr</t>
        </is>
      </c>
      <c r="D29" s="35" t="n">
        <v>1</v>
      </c>
      <c r="E29" s="35" t="n">
        <v>1</v>
      </c>
      <c r="F29" s="35">
        <f>D29+E29</f>
        <v/>
      </c>
      <c r="G29" s="36" t="n"/>
      <c r="H29" s="36" t="n"/>
      <c r="I29" s="11">
        <f>F29*G29</f>
        <v/>
      </c>
      <c r="J29" s="11">
        <f>F29*H29</f>
        <v/>
      </c>
      <c r="K29" s="37">
        <f>I29+J29</f>
        <v/>
      </c>
      <c r="L29" s="38" t="inlineStr">
        <is>
          <t>Window / door package - coordination only</t>
        </is>
      </c>
    </row>
    <row r="30" ht="26" customHeight="1">
      <c r="A30" s="10" t="inlineStr">
        <is>
          <t>4C.3</t>
        </is>
      </c>
      <c r="B30" s="10" t="inlineStr">
        <is>
          <t>GF rear door, living/kitchen, 1040 x 2100 structural opening, Rear elevation; PAS 24 / SBD external doorset</t>
        </is>
      </c>
      <c r="C30" s="10" t="inlineStr">
        <is>
          <t>nr</t>
        </is>
      </c>
      <c r="D30" s="35" t="n">
        <v>1</v>
      </c>
      <c r="E30" s="35" t="n">
        <v>1</v>
      </c>
      <c r="F30" s="35">
        <f>D30+E30</f>
        <v/>
      </c>
      <c r="G30" s="36" t="n"/>
      <c r="H30" s="36" t="n"/>
      <c r="I30" s="11">
        <f>F30*G30</f>
        <v/>
      </c>
      <c r="J30" s="11">
        <f>F30*H30</f>
        <v/>
      </c>
      <c r="K30" s="37">
        <f>I30+J30</f>
        <v/>
      </c>
      <c r="L30" s="38" t="inlineStr">
        <is>
          <t>Window / door package - coordination only</t>
        </is>
      </c>
    </row>
    <row r="32" ht="20" customHeight="1">
      <c r="A32" s="23" t="inlineStr">
        <is>
          <t>PACKAGE SUMMARY  -  Bill 4  Internal Doors &amp; Ironmongery  (package JOI; amounts by others, excl. VAT)</t>
        </is>
      </c>
    </row>
    <row r="33" ht="28" customHeight="1">
      <c r="A33" s="9" t="inlineStr">
        <is>
          <t>Section</t>
        </is>
      </c>
      <c r="B33" s="9" t="inlineStr">
        <is>
          <t>Description</t>
        </is>
      </c>
      <c r="C33" s="26" t="n"/>
      <c r="D33" s="26" t="n"/>
      <c r="E33" s="26" t="n"/>
      <c r="F33" s="26" t="n"/>
      <c r="G33" s="26" t="n"/>
      <c r="H33" s="27" t="n"/>
      <c r="I33" s="9" t="inlineStr">
        <is>
          <t>Supply
£</t>
        </is>
      </c>
      <c r="J33" s="9" t="inlineStr">
        <is>
          <t>Install
£</t>
        </is>
      </c>
      <c r="K33" s="9" t="inlineStr">
        <is>
          <t>Total
£</t>
        </is>
      </c>
      <c r="L33" s="9" t="inlineStr"/>
    </row>
    <row r="34" ht="16" customHeight="1">
      <c r="A34" s="39" t="inlineStr">
        <is>
          <t>4A</t>
        </is>
      </c>
      <c r="B34" s="10" t="inlineStr">
        <is>
          <t>Internal doorsets (NRM2 24 / package JOI)</t>
        </is>
      </c>
      <c r="C34" s="16" t="n"/>
      <c r="D34" s="16" t="n"/>
      <c r="E34" s="16" t="n"/>
      <c r="F34" s="16" t="n"/>
      <c r="G34" s="16" t="n"/>
      <c r="H34" s="16" t="n"/>
      <c r="I34" s="11">
        <f>SUM(I8:I20)</f>
        <v/>
      </c>
      <c r="J34" s="11">
        <f>SUM(J8:J20)</f>
        <v/>
      </c>
      <c r="K34" s="37">
        <f>SUM(K8:K20)</f>
        <v/>
      </c>
    </row>
    <row r="35" ht="16" customHeight="1">
      <c r="A35" s="39" t="inlineStr">
        <is>
          <t>4B</t>
        </is>
      </c>
      <c r="B35" s="10" t="inlineStr">
        <is>
          <t>Ironmongery (NRM2 24 / package JOI)</t>
        </is>
      </c>
      <c r="C35" s="16" t="n"/>
      <c r="D35" s="16" t="n"/>
      <c r="E35" s="16" t="n"/>
      <c r="F35" s="16" t="n"/>
      <c r="G35" s="16" t="n"/>
      <c r="H35" s="16" t="n"/>
      <c r="I35" s="11">
        <f>SUM(I22:I26)</f>
        <v/>
      </c>
      <c r="J35" s="11">
        <f>SUM(J22:J26)</f>
        <v/>
      </c>
      <c r="K35" s="37">
        <f>SUM(K22:K26)</f>
        <v/>
      </c>
    </row>
    <row r="36" ht="16" customHeight="1">
      <c r="A36" s="39" t="inlineStr">
        <is>
          <t>4C</t>
        </is>
      </c>
      <c r="B36" s="10" t="inlineStr">
        <is>
          <t>External doorsets (for information - supply by others)</t>
        </is>
      </c>
      <c r="C36" s="16" t="n"/>
      <c r="D36" s="16" t="n"/>
      <c r="E36" s="16" t="n"/>
      <c r="F36" s="16" t="n"/>
      <c r="G36" s="16" t="n"/>
      <c r="H36" s="16" t="n"/>
      <c r="I36" s="11">
        <f>SUM(I28:I30)</f>
        <v/>
      </c>
      <c r="J36" s="11">
        <f>SUM(J28:J30)</f>
        <v/>
      </c>
      <c r="K36" s="37">
        <f>SUM(K28:K30)</f>
        <v/>
      </c>
    </row>
    <row r="37" ht="20" customHeight="1">
      <c r="A37" s="40" t="inlineStr">
        <is>
          <t>PACKAGE TOTAL - Bill 4, carried to the Cover overview</t>
        </is>
      </c>
      <c r="I37" s="13">
        <f>SUM(I34:I36)</f>
        <v/>
      </c>
      <c r="J37" s="13">
        <f>SUM(J34:J36)</f>
        <v/>
      </c>
      <c r="K37" s="13">
        <f>SUM(K34:K36)</f>
        <v/>
      </c>
    </row>
    <row r="38" ht="24" customHeight="1">
      <c r="A38"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14">
    <mergeCell ref="B36:H36"/>
    <mergeCell ref="A38:L38"/>
    <mergeCell ref="A21:L21"/>
    <mergeCell ref="A7:L7"/>
    <mergeCell ref="B35:H35"/>
    <mergeCell ref="A32:L32"/>
    <mergeCell ref="B33:H33"/>
    <mergeCell ref="A27:L27"/>
    <mergeCell ref="A37:H37"/>
    <mergeCell ref="C2:L2"/>
    <mergeCell ref="B34:H34"/>
    <mergeCell ref="C1:L1"/>
    <mergeCell ref="A4:L4"/>
    <mergeCell ref="B8:L8"/>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L49"/>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5 - Joinery - Skirtings, Architraves &amp; Window Boards</t>
        </is>
      </c>
    </row>
    <row r="2" ht="26" customHeight="1">
      <c r="C2" s="33" t="inlineStr">
        <is>
          <t>Second-fix joinery measured per room and per opening.  [NRM2 22 / package JOI]</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5A  Skirtings (NRM2 22 / package JOI)</t>
        </is>
      </c>
    </row>
    <row r="8" ht="13" customHeight="1">
      <c r="B8" s="34" t="inlineStr">
        <is>
          <t>Room floor perimeter on walls less every door width opening into the room; stair-well balustrade edge excluded.</t>
        </is>
      </c>
    </row>
    <row r="9" ht="15" customHeight="1">
      <c r="A9" s="10" t="inlineStr">
        <is>
          <t>5A.1</t>
        </is>
      </c>
      <c r="B9" s="10" t="inlineStr">
        <is>
          <t>Skirting: GF GF flat, Living/Kitchen</t>
        </is>
      </c>
      <c r="C9" s="10" t="inlineStr">
        <is>
          <t>m</t>
        </is>
      </c>
      <c r="D9" s="35" t="n">
        <v>17.35</v>
      </c>
      <c r="E9" s="35" t="n">
        <v>17.35</v>
      </c>
      <c r="F9" s="35">
        <f>D9+E9</f>
        <v/>
      </c>
      <c r="G9" s="36" t="n"/>
      <c r="H9" s="36" t="n"/>
      <c r="I9" s="11">
        <f>F9*G9</f>
        <v/>
      </c>
      <c r="J9" s="11">
        <f>F9*H9</f>
        <v/>
      </c>
      <c r="K9" s="37">
        <f>I9+J9</f>
        <v/>
      </c>
      <c r="L9" s="38" t="inlineStr"/>
    </row>
    <row r="10" ht="15" customHeight="1">
      <c r="A10" s="10" t="inlineStr">
        <is>
          <t>5A.2</t>
        </is>
      </c>
      <c r="B10" s="10" t="inlineStr">
        <is>
          <t>Skirting: GF GF flat, Cupboard (G8/G9, unlabelled)</t>
        </is>
      </c>
      <c r="C10" s="10" t="inlineStr">
        <is>
          <t>m</t>
        </is>
      </c>
      <c r="D10" s="35" t="n">
        <v>2.59</v>
      </c>
      <c r="E10" s="35" t="n">
        <v>2.59</v>
      </c>
      <c r="F10" s="35">
        <f>D10+E10</f>
        <v/>
      </c>
      <c r="G10" s="36" t="n"/>
      <c r="H10" s="36" t="n"/>
      <c r="I10" s="11">
        <f>F10*G10</f>
        <v/>
      </c>
      <c r="J10" s="11">
        <f>F10*H10</f>
        <v/>
      </c>
      <c r="K10" s="37">
        <f>I10+J10</f>
        <v/>
      </c>
      <c r="L10" s="38" t="inlineStr"/>
    </row>
    <row r="11" ht="15" customHeight="1">
      <c r="A11" s="10" t="inlineStr">
        <is>
          <t>5A.3</t>
        </is>
      </c>
      <c r="B11" s="10" t="inlineStr">
        <is>
          <t>Skirting: GF GF flat, Bathroom</t>
        </is>
      </c>
      <c r="C11" s="10" t="inlineStr">
        <is>
          <t>m</t>
        </is>
      </c>
      <c r="D11" s="35" t="n">
        <v>7.81</v>
      </c>
      <c r="E11" s="35" t="n">
        <v>7.81</v>
      </c>
      <c r="F11" s="35">
        <f>D11+E11</f>
        <v/>
      </c>
      <c r="G11" s="36" t="n"/>
      <c r="H11" s="36" t="n"/>
      <c r="I11" s="11">
        <f>F11*G11</f>
        <v/>
      </c>
      <c r="J11" s="11">
        <f>F11*H11</f>
        <v/>
      </c>
      <c r="K11" s="37">
        <f>I11+J11</f>
        <v/>
      </c>
      <c r="L11" s="38" t="inlineStr"/>
    </row>
    <row r="12" ht="15" customHeight="1">
      <c r="A12" s="10" t="inlineStr">
        <is>
          <t>5A.4</t>
        </is>
      </c>
      <c r="B12" s="10" t="inlineStr">
        <is>
          <t>Skirting: GF GF flat, Hall</t>
        </is>
      </c>
      <c r="C12" s="10" t="inlineStr">
        <is>
          <t>m</t>
        </is>
      </c>
      <c r="D12" s="35" t="n">
        <v>5.45</v>
      </c>
      <c r="E12" s="35" t="n">
        <v>5.45</v>
      </c>
      <c r="F12" s="35">
        <f>D12+E12</f>
        <v/>
      </c>
      <c r="G12" s="36" t="n"/>
      <c r="H12" s="36" t="n"/>
      <c r="I12" s="11">
        <f>F12*G12</f>
        <v/>
      </c>
      <c r="J12" s="11">
        <f>F12*H12</f>
        <v/>
      </c>
      <c r="K12" s="37">
        <f>I12+J12</f>
        <v/>
      </c>
      <c r="L12" s="38" t="inlineStr"/>
    </row>
    <row r="13" ht="15" customHeight="1">
      <c r="A13" s="10" t="inlineStr">
        <is>
          <t>5A.5</t>
        </is>
      </c>
      <c r="B13" s="10" t="inlineStr">
        <is>
          <t>Skirting: GF GF flat, Bedroom 1</t>
        </is>
      </c>
      <c r="C13" s="10" t="inlineStr">
        <is>
          <t>m</t>
        </is>
      </c>
      <c r="D13" s="35" t="n">
        <v>14.24</v>
      </c>
      <c r="E13" s="35" t="n">
        <v>14.24</v>
      </c>
      <c r="F13" s="35">
        <f>D13+E13</f>
        <v/>
      </c>
      <c r="G13" s="36" t="n"/>
      <c r="H13" s="36" t="n"/>
      <c r="I13" s="11">
        <f>F13*G13</f>
        <v/>
      </c>
      <c r="J13" s="11">
        <f>F13*H13</f>
        <v/>
      </c>
      <c r="K13" s="37">
        <f>I13+J13</f>
        <v/>
      </c>
      <c r="L13" s="38" t="inlineStr"/>
    </row>
    <row r="14" ht="15" customHeight="1">
      <c r="A14" s="10" t="inlineStr">
        <is>
          <t>5A.6</t>
        </is>
      </c>
      <c r="B14" s="10" t="inlineStr">
        <is>
          <t>Skirting: GF GF flat, A/C / Laundry</t>
        </is>
      </c>
      <c r="C14" s="10" t="inlineStr">
        <is>
          <t>m</t>
        </is>
      </c>
      <c r="D14" s="35" t="n">
        <v>2.92</v>
      </c>
      <c r="E14" s="35" t="n">
        <v>2.92</v>
      </c>
      <c r="F14" s="35">
        <f>D14+E14</f>
        <v/>
      </c>
      <c r="G14" s="36" t="n"/>
      <c r="H14" s="36" t="n"/>
      <c r="I14" s="11">
        <f>F14*G14</f>
        <v/>
      </c>
      <c r="J14" s="11">
        <f>F14*H14</f>
        <v/>
      </c>
      <c r="K14" s="37">
        <f>I14+J14</f>
        <v/>
      </c>
      <c r="L14" s="38" t="inlineStr"/>
    </row>
    <row r="15" ht="15" customHeight="1">
      <c r="A15" s="10" t="inlineStr">
        <is>
          <t>5A.7</t>
        </is>
      </c>
      <c r="B15" s="10" t="inlineStr">
        <is>
          <t>Skirting: GF GF flat, Store (under stair, via W_c)</t>
        </is>
      </c>
      <c r="C15" s="10" t="inlineStr">
        <is>
          <t>m</t>
        </is>
      </c>
      <c r="D15" s="35" t="n">
        <v>7.2</v>
      </c>
      <c r="E15" s="35" t="n">
        <v>7.2</v>
      </c>
      <c r="F15" s="35">
        <f>D15+E15</f>
        <v/>
      </c>
      <c r="G15" s="36" t="n"/>
      <c r="H15" s="36" t="n"/>
      <c r="I15" s="11">
        <f>F15*G15</f>
        <v/>
      </c>
      <c r="J15" s="11">
        <f>F15*H15</f>
        <v/>
      </c>
      <c r="K15" s="37">
        <f>I15+J15</f>
        <v/>
      </c>
      <c r="L15" s="38" t="inlineStr"/>
    </row>
    <row r="16" ht="15" customHeight="1">
      <c r="A16" s="10" t="inlineStr">
        <is>
          <t>5A.8</t>
        </is>
      </c>
      <c r="B16" s="10" t="inlineStr">
        <is>
          <t>Skirting: GF FF flat, Stairs / entrance lobby (FF flat)</t>
        </is>
      </c>
      <c r="C16" s="10" t="inlineStr">
        <is>
          <t>m</t>
        </is>
      </c>
      <c r="D16" s="35" t="n">
        <v>6.56</v>
      </c>
      <c r="E16" s="35" t="n">
        <v>6.56</v>
      </c>
      <c r="F16" s="35">
        <f>D16+E16</f>
        <v/>
      </c>
      <c r="G16" s="36" t="n"/>
      <c r="H16" s="36" t="n"/>
      <c r="I16" s="11">
        <f>F16*G16</f>
        <v/>
      </c>
      <c r="J16" s="11">
        <f>F16*H16</f>
        <v/>
      </c>
      <c r="K16" s="37">
        <f>I16+J16</f>
        <v/>
      </c>
      <c r="L16" s="38" t="inlineStr"/>
    </row>
    <row r="17" ht="15" customHeight="1">
      <c r="A17" s="10" t="inlineStr">
        <is>
          <t>5A.9</t>
        </is>
      </c>
      <c r="B17" s="10" t="inlineStr">
        <is>
          <t>Skirting: FF FF flat, Living/Kitchen</t>
        </is>
      </c>
      <c r="C17" s="10" t="inlineStr">
        <is>
          <t>m</t>
        </is>
      </c>
      <c r="D17" s="35" t="n">
        <v>18.39</v>
      </c>
      <c r="E17" s="35" t="n">
        <v>18.39</v>
      </c>
      <c r="F17" s="35">
        <f>D17+E17</f>
        <v/>
      </c>
      <c r="G17" s="36" t="n"/>
      <c r="H17" s="36" t="n"/>
      <c r="I17" s="11">
        <f>F17*G17</f>
        <v/>
      </c>
      <c r="J17" s="11">
        <f>F17*H17</f>
        <v/>
      </c>
      <c r="K17" s="37">
        <f>I17+J17</f>
        <v/>
      </c>
      <c r="L17" s="38" t="inlineStr"/>
    </row>
    <row r="18" ht="15" customHeight="1">
      <c r="A18" s="10" t="inlineStr">
        <is>
          <t>5A.10</t>
        </is>
      </c>
      <c r="B18" s="10" t="inlineStr">
        <is>
          <t>Skirting: FF FF flat, Cupboard (F6/F7, unlabelled)</t>
        </is>
      </c>
      <c r="C18" s="10" t="inlineStr">
        <is>
          <t>m</t>
        </is>
      </c>
      <c r="D18" s="35" t="n">
        <v>2.59</v>
      </c>
      <c r="E18" s="35" t="n">
        <v>2.59</v>
      </c>
      <c r="F18" s="35">
        <f>D18+E18</f>
        <v/>
      </c>
      <c r="G18" s="36" t="n"/>
      <c r="H18" s="36" t="n"/>
      <c r="I18" s="11">
        <f>F18*G18</f>
        <v/>
      </c>
      <c r="J18" s="11">
        <f>F18*H18</f>
        <v/>
      </c>
      <c r="K18" s="37">
        <f>I18+J18</f>
        <v/>
      </c>
      <c r="L18" s="38" t="inlineStr"/>
    </row>
    <row r="19" ht="15" customHeight="1">
      <c r="A19" s="10" t="inlineStr">
        <is>
          <t>5A.11</t>
        </is>
      </c>
      <c r="B19" s="10" t="inlineStr">
        <is>
          <t>Skirting: FF FF flat, Bathroom</t>
        </is>
      </c>
      <c r="C19" s="10" t="inlineStr">
        <is>
          <t>m</t>
        </is>
      </c>
      <c r="D19" s="35" t="n">
        <v>7.81</v>
      </c>
      <c r="E19" s="35" t="n">
        <v>7.81</v>
      </c>
      <c r="F19" s="35">
        <f>D19+E19</f>
        <v/>
      </c>
      <c r="G19" s="36" t="n"/>
      <c r="H19" s="36" t="n"/>
      <c r="I19" s="11">
        <f>F19*G19</f>
        <v/>
      </c>
      <c r="J19" s="11">
        <f>F19*H19</f>
        <v/>
      </c>
      <c r="K19" s="37">
        <f>I19+J19</f>
        <v/>
      </c>
      <c r="L19" s="38" t="inlineStr"/>
    </row>
    <row r="20" ht="15" customHeight="1">
      <c r="A20" s="10" t="inlineStr">
        <is>
          <t>5A.12</t>
        </is>
      </c>
      <c r="B20" s="10" t="inlineStr">
        <is>
          <t>Skirting: FF FF flat, Hall + landing (incl. stair well)</t>
        </is>
      </c>
      <c r="C20" s="10" t="inlineStr">
        <is>
          <t>m</t>
        </is>
      </c>
      <c r="D20" s="35" t="n">
        <v>8.699999999999999</v>
      </c>
      <c r="E20" s="35" t="n">
        <v>8.699999999999999</v>
      </c>
      <c r="F20" s="35">
        <f>D20+E20</f>
        <v/>
      </c>
      <c r="G20" s="36" t="n"/>
      <c r="H20" s="36" t="n"/>
      <c r="I20" s="11">
        <f>F20*G20</f>
        <v/>
      </c>
      <c r="J20" s="11">
        <f>F20*H20</f>
        <v/>
      </c>
      <c r="K20" s="37">
        <f>I20+J20</f>
        <v/>
      </c>
      <c r="L20" s="38" t="inlineStr"/>
    </row>
    <row r="21" ht="15" customHeight="1">
      <c r="A21" s="10" t="inlineStr">
        <is>
          <t>5A.13</t>
        </is>
      </c>
      <c r="B21" s="10" t="inlineStr">
        <is>
          <t>Skirting: FF FF flat, Bedroom 1</t>
        </is>
      </c>
      <c r="C21" s="10" t="inlineStr">
        <is>
          <t>m</t>
        </is>
      </c>
      <c r="D21" s="35" t="n">
        <v>14.24</v>
      </c>
      <c r="E21" s="35" t="n">
        <v>14.24</v>
      </c>
      <c r="F21" s="35">
        <f>D21+E21</f>
        <v/>
      </c>
      <c r="G21" s="36" t="n"/>
      <c r="H21" s="36" t="n"/>
      <c r="I21" s="11">
        <f>F21*G21</f>
        <v/>
      </c>
      <c r="J21" s="11">
        <f>F21*H21</f>
        <v/>
      </c>
      <c r="K21" s="37">
        <f>I21+J21</f>
        <v/>
      </c>
      <c r="L21" s="38" t="inlineStr"/>
    </row>
    <row r="22" ht="15" customHeight="1">
      <c r="A22" s="10" t="inlineStr">
        <is>
          <t>5A.14</t>
        </is>
      </c>
      <c r="B22" s="10" t="inlineStr">
        <is>
          <t>Skirting: FF FF flat, A/C / Laundry</t>
        </is>
      </c>
      <c r="C22" s="10" t="inlineStr">
        <is>
          <t>m</t>
        </is>
      </c>
      <c r="D22" s="35" t="n">
        <v>2.73</v>
      </c>
      <c r="E22" s="35" t="n">
        <v>2.73</v>
      </c>
      <c r="F22" s="35">
        <f>D22+E22</f>
        <v/>
      </c>
      <c r="G22" s="36" t="n"/>
      <c r="H22" s="36" t="n"/>
      <c r="I22" s="11">
        <f>F22*G22</f>
        <v/>
      </c>
      <c r="J22" s="11">
        <f>F22*H22</f>
        <v/>
      </c>
      <c r="K22" s="37">
        <f>I22+J22</f>
        <v/>
      </c>
      <c r="L22" s="38" t="inlineStr"/>
    </row>
    <row r="23" ht="15" customHeight="1">
      <c r="A23" s="10" t="inlineStr">
        <is>
          <t>5A.15</t>
        </is>
      </c>
      <c r="B23" s="10" t="inlineStr">
        <is>
          <t>Skirting: FF FF flat, Store</t>
        </is>
      </c>
      <c r="C23" s="10" t="inlineStr">
        <is>
          <t>m</t>
        </is>
      </c>
      <c r="D23" s="35" t="n">
        <v>3.66</v>
      </c>
      <c r="E23" s="35" t="n">
        <v>3.66</v>
      </c>
      <c r="F23" s="35">
        <f>D23+E23</f>
        <v/>
      </c>
      <c r="G23" s="36" t="n"/>
      <c r="H23" s="36" t="n"/>
      <c r="I23" s="11">
        <f>F23*G23</f>
        <v/>
      </c>
      <c r="J23" s="11">
        <f>F23*H23</f>
        <v/>
      </c>
      <c r="K23" s="37">
        <f>I23+J23</f>
        <v/>
      </c>
      <c r="L23" s="38" t="inlineStr"/>
    </row>
    <row r="24" ht="15" customHeight="1">
      <c r="A24" s="46" t="inlineStr">
        <is>
          <t>5A.T</t>
        </is>
      </c>
      <c r="B24" s="46" t="inlineStr">
        <is>
          <t>Skirtings - total</t>
        </is>
      </c>
      <c r="C24" s="46" t="inlineStr">
        <is>
          <t>m</t>
        </is>
      </c>
      <c r="D24" s="47">
        <f>SUM(D9:D23)</f>
        <v/>
      </c>
      <c r="E24" s="47">
        <f>SUM(E9:E23)</f>
        <v/>
      </c>
      <c r="F24" s="47">
        <f>D24+E24</f>
        <v/>
      </c>
      <c r="G24" s="48" t="n"/>
      <c r="H24" s="48" t="n"/>
      <c r="I24" s="48" t="n"/>
      <c r="J24" s="48" t="n"/>
      <c r="K24" s="44" t="inlineStr">
        <is>
          <t>not priced</t>
        </is>
      </c>
      <c r="L24" s="49" t="inlineStr">
        <is>
          <t>Order guide +10% = 268.9</t>
        </is>
      </c>
    </row>
    <row r="25">
      <c r="A25" s="30" t="inlineStr">
        <is>
          <t>5B  Architraves (NRM2 22 / package JOI)</t>
        </is>
      </c>
    </row>
    <row r="26" ht="13" customHeight="1">
      <c r="B26" s="34" t="inlineStr">
        <is>
          <t>Per face = 2 legs x 2150 + (door gap + 2 x 70). Internal doors both faces; external doors inside face only.</t>
        </is>
      </c>
    </row>
    <row r="27" ht="15" customHeight="1">
      <c r="A27" s="10" t="inlineStr">
        <is>
          <t>5B.1</t>
        </is>
      </c>
      <c r="B27" s="10" t="inlineStr">
        <is>
          <t>Architrave to internal doors both faces</t>
        </is>
      </c>
      <c r="C27" s="10" t="inlineStr">
        <is>
          <t>m</t>
        </is>
      </c>
      <c r="D27" s="35" t="n">
        <v>128.58</v>
      </c>
      <c r="E27" s="35" t="n">
        <v>128.58</v>
      </c>
      <c r="F27" s="35">
        <f>D27+E27</f>
        <v/>
      </c>
      <c r="G27" s="36" t="n"/>
      <c r="H27" s="36" t="n"/>
      <c r="I27" s="11">
        <f>F27*G27</f>
        <v/>
      </c>
      <c r="J27" s="11">
        <f>F27*H27</f>
        <v/>
      </c>
      <c r="K27" s="37">
        <f>I27+J27</f>
        <v/>
      </c>
      <c r="L27" s="38" t="inlineStr">
        <is>
          <t>Order guide +10% = 282.9</t>
        </is>
      </c>
    </row>
    <row r="28" ht="15" customHeight="1">
      <c r="A28" s="10" t="inlineStr">
        <is>
          <t>5B.2</t>
        </is>
      </c>
      <c r="B28" s="10" t="inlineStr">
        <is>
          <t>Architrave to external doors one face</t>
        </is>
      </c>
      <c r="C28" s="10" t="inlineStr">
        <is>
          <t>m</t>
        </is>
      </c>
      <c r="D28" s="35" t="n">
        <v>16.44</v>
      </c>
      <c r="E28" s="35" t="n">
        <v>16.44</v>
      </c>
      <c r="F28" s="35">
        <f>D28+E28</f>
        <v/>
      </c>
      <c r="G28" s="36" t="n"/>
      <c r="H28" s="36" t="n"/>
      <c r="I28" s="11">
        <f>F28*G28</f>
        <v/>
      </c>
      <c r="J28" s="11">
        <f>F28*H28</f>
        <v/>
      </c>
      <c r="K28" s="37">
        <f>I28+J28</f>
        <v/>
      </c>
      <c r="L28" s="38" t="inlineStr">
        <is>
          <t>Order guide +10% = 36.2</t>
        </is>
      </c>
    </row>
    <row r="29">
      <c r="A29" s="30" t="inlineStr">
        <is>
          <t>5C  Window boards (NRM2 22 / package JOI)</t>
        </is>
      </c>
    </row>
    <row r="30" ht="13" customHeight="1">
      <c r="B30" s="34" t="inlineStr">
        <is>
          <t>Length = structural opening width + 2 x 50 horns; depth = internal reveal 195 + 25 nosing = 220 mm (order 225 mm MDF / uPVC).</t>
        </is>
      </c>
    </row>
    <row r="31" ht="26" customHeight="1">
      <c r="A31" s="10" t="inlineStr">
        <is>
          <t>5C.1</t>
        </is>
      </c>
      <c r="B31" s="10" t="inlineStr">
        <is>
          <t>Window board 220 x 1680 mm long, with horns, nosing to front edge</t>
        </is>
      </c>
      <c r="C31" s="10" t="inlineStr">
        <is>
          <t>nr</t>
        </is>
      </c>
      <c r="D31" s="35" t="n">
        <v>2</v>
      </c>
      <c r="E31" s="35" t="n">
        <v>2</v>
      </c>
      <c r="F31" s="35">
        <f>D31+E31</f>
        <v/>
      </c>
      <c r="G31" s="36" t="n"/>
      <c r="H31" s="36" t="n"/>
      <c r="I31" s="11">
        <f>F31*G31</f>
        <v/>
      </c>
      <c r="J31" s="11">
        <f>F31*H31</f>
        <v/>
      </c>
      <c r="K31" s="37">
        <f>I31+J31</f>
        <v/>
      </c>
      <c r="L31" s="38" t="inlineStr"/>
    </row>
    <row r="32" ht="26" customHeight="1">
      <c r="A32" s="10" t="inlineStr">
        <is>
          <t>5C.2</t>
        </is>
      </c>
      <c r="B32" s="10" t="inlineStr">
        <is>
          <t>Window board 220 x 1670 mm long, with horns, nosing to front edge</t>
        </is>
      </c>
      <c r="C32" s="10" t="inlineStr">
        <is>
          <t>nr</t>
        </is>
      </c>
      <c r="D32" s="35" t="n">
        <v>2</v>
      </c>
      <c r="E32" s="35" t="n">
        <v>2</v>
      </c>
      <c r="F32" s="35">
        <f>D32+E32</f>
        <v/>
      </c>
      <c r="G32" s="36" t="n"/>
      <c r="H32" s="36" t="n"/>
      <c r="I32" s="11">
        <f>F32*G32</f>
        <v/>
      </c>
      <c r="J32" s="11">
        <f>F32*H32</f>
        <v/>
      </c>
      <c r="K32" s="37">
        <f>I32+J32</f>
        <v/>
      </c>
      <c r="L32" s="38" t="inlineStr"/>
    </row>
    <row r="33" ht="26" customHeight="1">
      <c r="A33" s="10" t="inlineStr">
        <is>
          <t>5C.3</t>
        </is>
      </c>
      <c r="B33" s="10" t="inlineStr">
        <is>
          <t>Window board 220 x 1110 mm long, with horns, nosing to front edge</t>
        </is>
      </c>
      <c r="C33" s="10" t="inlineStr">
        <is>
          <t>nr</t>
        </is>
      </c>
      <c r="D33" s="35" t="n">
        <v>2</v>
      </c>
      <c r="E33" s="35" t="n">
        <v>2</v>
      </c>
      <c r="F33" s="35">
        <f>D33+E33</f>
        <v/>
      </c>
      <c r="G33" s="36" t="n"/>
      <c r="H33" s="36" t="n"/>
      <c r="I33" s="11">
        <f>F33*G33</f>
        <v/>
      </c>
      <c r="J33" s="11">
        <f>F33*H33</f>
        <v/>
      </c>
      <c r="K33" s="37">
        <f>I33+J33</f>
        <v/>
      </c>
      <c r="L33" s="38" t="inlineStr"/>
    </row>
    <row r="34" ht="26" customHeight="1">
      <c r="A34" s="10" t="inlineStr">
        <is>
          <t>5C.4</t>
        </is>
      </c>
      <c r="B34" s="10" t="inlineStr">
        <is>
          <t>Window board 220 x 870 mm long, with horns, nosing to front edge</t>
        </is>
      </c>
      <c r="C34" s="10" t="inlineStr">
        <is>
          <t>nr</t>
        </is>
      </c>
      <c r="D34" s="35" t="n">
        <v>1</v>
      </c>
      <c r="E34" s="35" t="n">
        <v>1</v>
      </c>
      <c r="F34" s="35">
        <f>D34+E34</f>
        <v/>
      </c>
      <c r="G34" s="36" t="n"/>
      <c r="H34" s="36" t="n"/>
      <c r="I34" s="11">
        <f>F34*G34</f>
        <v/>
      </c>
      <c r="J34" s="11">
        <f>F34*H34</f>
        <v/>
      </c>
      <c r="K34" s="37">
        <f>I34+J34</f>
        <v/>
      </c>
      <c r="L34" s="38" t="inlineStr"/>
    </row>
    <row r="35" ht="26" customHeight="1">
      <c r="A35" s="10" t="inlineStr">
        <is>
          <t>5C.5</t>
        </is>
      </c>
      <c r="B35" s="10" t="inlineStr">
        <is>
          <t>Window board 220 x 860 mm long, with horns, nosing to front edge</t>
        </is>
      </c>
      <c r="C35" s="10" t="inlineStr">
        <is>
          <t>nr</t>
        </is>
      </c>
      <c r="D35" s="35" t="n">
        <v>1</v>
      </c>
      <c r="E35" s="35" t="n">
        <v>1</v>
      </c>
      <c r="F35" s="35">
        <f>D35+E35</f>
        <v/>
      </c>
      <c r="G35" s="36" t="n"/>
      <c r="H35" s="36" t="n"/>
      <c r="I35" s="11">
        <f>F35*G35</f>
        <v/>
      </c>
      <c r="J35" s="11">
        <f>F35*H35</f>
        <v/>
      </c>
      <c r="K35" s="37">
        <f>I35+J35</f>
        <v/>
      </c>
      <c r="L35" s="38" t="inlineStr"/>
    </row>
    <row r="36" ht="26" customHeight="1">
      <c r="A36" s="10" t="inlineStr">
        <is>
          <t>5C.6</t>
        </is>
      </c>
      <c r="B36" s="10" t="inlineStr">
        <is>
          <t>Window board 220 x 850 mm long, with horns, nosing to front edge</t>
        </is>
      </c>
      <c r="C36" s="10" t="inlineStr">
        <is>
          <t>nr</t>
        </is>
      </c>
      <c r="D36" s="35" t="n">
        <v>1</v>
      </c>
      <c r="E36" s="35" t="n">
        <v>1</v>
      </c>
      <c r="F36" s="35">
        <f>D36+E36</f>
        <v/>
      </c>
      <c r="G36" s="36" t="n"/>
      <c r="H36" s="36" t="n"/>
      <c r="I36" s="11">
        <f>F36*G36</f>
        <v/>
      </c>
      <c r="J36" s="11">
        <f>F36*H36</f>
        <v/>
      </c>
      <c r="K36" s="37">
        <f>I36+J36</f>
        <v/>
      </c>
      <c r="L36" s="38" t="inlineStr"/>
    </row>
    <row r="37" ht="26" customHeight="1">
      <c r="A37" s="10" t="inlineStr">
        <is>
          <t>5C.7</t>
        </is>
      </c>
      <c r="B37" s="10" t="inlineStr">
        <is>
          <t>Window board 220 x 840 mm long, with horns, nosing to front edge</t>
        </is>
      </c>
      <c r="C37" s="10" t="inlineStr">
        <is>
          <t>nr</t>
        </is>
      </c>
      <c r="D37" s="35" t="n">
        <v>2</v>
      </c>
      <c r="E37" s="35" t="n">
        <v>2</v>
      </c>
      <c r="F37" s="35">
        <f>D37+E37</f>
        <v/>
      </c>
      <c r="G37" s="36" t="n"/>
      <c r="H37" s="36" t="n"/>
      <c r="I37" s="11">
        <f>F37*G37</f>
        <v/>
      </c>
      <c r="J37" s="11">
        <f>F37*H37</f>
        <v/>
      </c>
      <c r="K37" s="37">
        <f>I37+J37</f>
        <v/>
      </c>
      <c r="L37" s="38" t="inlineStr"/>
    </row>
    <row r="38" ht="26" customHeight="1">
      <c r="A38" s="10" t="inlineStr">
        <is>
          <t>5C.8</t>
        </is>
      </c>
      <c r="B38" s="10" t="inlineStr">
        <is>
          <t>Window board 220 x 830 mm long, with horns, nosing to front edge</t>
        </is>
      </c>
      <c r="C38" s="10" t="inlineStr">
        <is>
          <t>nr</t>
        </is>
      </c>
      <c r="D38" s="35" t="n">
        <v>1</v>
      </c>
      <c r="E38" s="35" t="n">
        <v>1</v>
      </c>
      <c r="F38" s="35">
        <f>D38+E38</f>
        <v/>
      </c>
      <c r="G38" s="36" t="n"/>
      <c r="H38" s="36" t="n"/>
      <c r="I38" s="11">
        <f>F38*G38</f>
        <v/>
      </c>
      <c r="J38" s="11">
        <f>F38*H38</f>
        <v/>
      </c>
      <c r="K38" s="37">
        <f>I38+J38</f>
        <v/>
      </c>
      <c r="L38" s="38" t="inlineStr"/>
    </row>
    <row r="39" ht="26" customHeight="1">
      <c r="A39" s="10" t="inlineStr">
        <is>
          <t>5C.9</t>
        </is>
      </c>
      <c r="B39" s="10" t="inlineStr">
        <is>
          <t>Window board 220 x 820 mm long, with horns, nosing to front edge</t>
        </is>
      </c>
      <c r="C39" s="10" t="inlineStr">
        <is>
          <t>nr</t>
        </is>
      </c>
      <c r="D39" s="35" t="n">
        <v>1</v>
      </c>
      <c r="E39" s="35" t="n">
        <v>1</v>
      </c>
      <c r="F39" s="35">
        <f>D39+E39</f>
        <v/>
      </c>
      <c r="G39" s="36" t="n"/>
      <c r="H39" s="36" t="n"/>
      <c r="I39" s="11">
        <f>F39*G39</f>
        <v/>
      </c>
      <c r="J39" s="11">
        <f>F39*H39</f>
        <v/>
      </c>
      <c r="K39" s="37">
        <f>I39+J39</f>
        <v/>
      </c>
      <c r="L39" s="38" t="inlineStr"/>
    </row>
    <row r="40" ht="26" customHeight="1">
      <c r="A40" s="10" t="inlineStr">
        <is>
          <t>5C.10</t>
        </is>
      </c>
      <c r="B40" s="10" t="inlineStr">
        <is>
          <t>Window board 220 x 810 mm long, with horns, nosing to front edge</t>
        </is>
      </c>
      <c r="C40" s="10" t="inlineStr">
        <is>
          <t>nr</t>
        </is>
      </c>
      <c r="D40" s="35" t="n">
        <v>1</v>
      </c>
      <c r="E40" s="35" t="n">
        <v>1</v>
      </c>
      <c r="F40" s="35">
        <f>D40+E40</f>
        <v/>
      </c>
      <c r="G40" s="36" t="n"/>
      <c r="H40" s="36" t="n"/>
      <c r="I40" s="11">
        <f>F40*G40</f>
        <v/>
      </c>
      <c r="J40" s="11">
        <f>F40*H40</f>
        <v/>
      </c>
      <c r="K40" s="37">
        <f>I40+J40</f>
        <v/>
      </c>
      <c r="L40" s="38" t="inlineStr"/>
    </row>
    <row r="41" ht="15" customHeight="1">
      <c r="A41" s="46" t="inlineStr">
        <is>
          <t>5C.T</t>
        </is>
      </c>
      <c r="B41" s="46" t="inlineStr">
        <is>
          <t>Window boards - total length</t>
        </is>
      </c>
      <c r="C41" s="46" t="inlineStr">
        <is>
          <t>m</t>
        </is>
      </c>
      <c r="D41" s="47" t="n">
        <v>15.64</v>
      </c>
      <c r="E41" s="47" t="n">
        <v>15.64</v>
      </c>
      <c r="F41" s="47">
        <f>D41+E41</f>
        <v/>
      </c>
      <c r="G41" s="48" t="n"/>
      <c r="H41" s="48" t="n"/>
      <c r="I41" s="48" t="n"/>
      <c r="J41" s="48" t="n"/>
      <c r="K41" s="44" t="inlineStr">
        <is>
          <t>not priced</t>
        </is>
      </c>
      <c r="L41" s="49" t="inlineStr">
        <is>
          <t>Order guide +10% = 34.4</t>
        </is>
      </c>
    </row>
    <row r="43" ht="20" customHeight="1">
      <c r="A43" s="23" t="inlineStr">
        <is>
          <t>PACKAGE SUMMARY  -  Bill 5  Joinery - Skirtings, Architraves &amp; Window Boards  (package JOI; amounts by others, excl. VAT)</t>
        </is>
      </c>
    </row>
    <row r="44" ht="28" customHeight="1">
      <c r="A44" s="9" t="inlineStr">
        <is>
          <t>Section</t>
        </is>
      </c>
      <c r="B44" s="9" t="inlineStr">
        <is>
          <t>Description</t>
        </is>
      </c>
      <c r="C44" s="26" t="n"/>
      <c r="D44" s="26" t="n"/>
      <c r="E44" s="26" t="n"/>
      <c r="F44" s="26" t="n"/>
      <c r="G44" s="26" t="n"/>
      <c r="H44" s="27" t="n"/>
      <c r="I44" s="9" t="inlineStr">
        <is>
          <t>Supply
£</t>
        </is>
      </c>
      <c r="J44" s="9" t="inlineStr">
        <is>
          <t>Install
£</t>
        </is>
      </c>
      <c r="K44" s="9" t="inlineStr">
        <is>
          <t>Total
£</t>
        </is>
      </c>
      <c r="L44" s="9" t="inlineStr"/>
    </row>
    <row r="45" ht="16" customHeight="1">
      <c r="A45" s="39" t="inlineStr">
        <is>
          <t>5A</t>
        </is>
      </c>
      <c r="B45" s="10" t="inlineStr">
        <is>
          <t>Skirtings (NRM2 22 / package JOI)</t>
        </is>
      </c>
      <c r="C45" s="16" t="n"/>
      <c r="D45" s="16" t="n"/>
      <c r="E45" s="16" t="n"/>
      <c r="F45" s="16" t="n"/>
      <c r="G45" s="16" t="n"/>
      <c r="H45" s="16" t="n"/>
      <c r="I45" s="11">
        <f>SUM(I8:I24)</f>
        <v/>
      </c>
      <c r="J45" s="11">
        <f>SUM(J8:J24)</f>
        <v/>
      </c>
      <c r="K45" s="37">
        <f>SUM(K8:K24)</f>
        <v/>
      </c>
    </row>
    <row r="46" ht="16" customHeight="1">
      <c r="A46" s="39" t="inlineStr">
        <is>
          <t>5B</t>
        </is>
      </c>
      <c r="B46" s="10" t="inlineStr">
        <is>
          <t>Architraves (NRM2 22 / package JOI)</t>
        </is>
      </c>
      <c r="C46" s="16" t="n"/>
      <c r="D46" s="16" t="n"/>
      <c r="E46" s="16" t="n"/>
      <c r="F46" s="16" t="n"/>
      <c r="G46" s="16" t="n"/>
      <c r="H46" s="16" t="n"/>
      <c r="I46" s="11">
        <f>SUM(I26:I28)</f>
        <v/>
      </c>
      <c r="J46" s="11">
        <f>SUM(J26:J28)</f>
        <v/>
      </c>
      <c r="K46" s="37">
        <f>SUM(K26:K28)</f>
        <v/>
      </c>
    </row>
    <row r="47" ht="16" customHeight="1">
      <c r="A47" s="39" t="inlineStr">
        <is>
          <t>5C</t>
        </is>
      </c>
      <c r="B47" s="10" t="inlineStr">
        <is>
          <t>Window boards (NRM2 22 / package JOI)</t>
        </is>
      </c>
      <c r="C47" s="16" t="n"/>
      <c r="D47" s="16" t="n"/>
      <c r="E47" s="16" t="n"/>
      <c r="F47" s="16" t="n"/>
      <c r="G47" s="16" t="n"/>
      <c r="H47" s="16" t="n"/>
      <c r="I47" s="11">
        <f>SUM(I30:I41)</f>
        <v/>
      </c>
      <c r="J47" s="11">
        <f>SUM(J30:J41)</f>
        <v/>
      </c>
      <c r="K47" s="37">
        <f>SUM(K30:K41)</f>
        <v/>
      </c>
    </row>
    <row r="48" ht="20" customHeight="1">
      <c r="A48" s="40" t="inlineStr">
        <is>
          <t>PACKAGE TOTAL - Bill 5, carried to the Cover overview</t>
        </is>
      </c>
      <c r="I48" s="13">
        <f>SUM(I45:I47)</f>
        <v/>
      </c>
      <c r="J48" s="13">
        <f>SUM(J45:J47)</f>
        <v/>
      </c>
      <c r="K48" s="13">
        <f>SUM(K45:K47)</f>
        <v/>
      </c>
    </row>
    <row r="49" ht="24" customHeight="1">
      <c r="A49"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16">
    <mergeCell ref="A48:H48"/>
    <mergeCell ref="B26:L26"/>
    <mergeCell ref="A29:L29"/>
    <mergeCell ref="A7:L7"/>
    <mergeCell ref="A25:L25"/>
    <mergeCell ref="A43:L43"/>
    <mergeCell ref="B30:L30"/>
    <mergeCell ref="A49:L49"/>
    <mergeCell ref="B44:H44"/>
    <mergeCell ref="B45:H45"/>
    <mergeCell ref="B47:H47"/>
    <mergeCell ref="B46:H46"/>
    <mergeCell ref="C2:L2"/>
    <mergeCell ref="C1:L1"/>
    <mergeCell ref="A4:L4"/>
    <mergeCell ref="B8:L8"/>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L52"/>
  <sheetViews>
    <sheetView showGridLines="0" workbookViewId="0">
      <pane ySplit="6" topLeftCell="A7" activePane="bottomLeft" state="frozen"/>
      <selection pane="bottomLeft" activeCell="A1" sqref="A1"/>
    </sheetView>
  </sheetViews>
  <sheetFormatPr baseColWidth="8" defaultRowHeight="15"/>
  <cols>
    <col width="8" customWidth="1" min="1" max="1"/>
    <col width="56" customWidth="1" min="2" max="2"/>
    <col width="6" customWidth="1" min="3" max="3"/>
    <col width="10" customWidth="1" min="4" max="4"/>
    <col width="10" customWidth="1" min="5" max="5"/>
    <col width="10" customWidth="1" min="6" max="6"/>
    <col width="11" customWidth="1" min="7" max="7"/>
    <col width="11" customWidth="1" min="8" max="8"/>
    <col width="13" customWidth="1" min="9" max="9"/>
    <col width="13" customWidth="1" min="10" max="10"/>
    <col width="14" customWidth="1" min="11" max="11"/>
    <col width="42" customWidth="1" min="12" max="12"/>
  </cols>
  <sheetData>
    <row r="1" ht="22" customHeight="1">
      <c r="C1" s="1" t="inlineStr">
        <is>
          <t>Bill 6 - Timber Stud Partitions - Framing, Openings, Pattresses &amp; Fixings</t>
        </is>
      </c>
    </row>
    <row r="2" ht="26" customHeight="1">
      <c r="C2" s="33" t="inlineStr">
        <is>
          <t>Non-loadbearing timber stud partitions and riser boxing from the TLSTF model (44 panels, GF-IN1..22 and FF-IN1..22). Linings are in Bill 3, doorsets in Bill 4.  [NRM2 16 / package JOI]</t>
        </is>
      </c>
    </row>
    <row r="3" ht="4" customHeight="1">
      <c r="A3" s="3" t="n"/>
      <c r="B3" s="3" t="n"/>
      <c r="C3" s="3" t="n"/>
      <c r="D3" s="3" t="n"/>
      <c r="E3" s="3" t="n"/>
      <c r="F3" s="3" t="n"/>
      <c r="G3" s="3" t="n"/>
      <c r="H3" s="3" t="n"/>
      <c r="I3" s="3" t="n"/>
      <c r="J3" s="3" t="n"/>
      <c r="K3" s="3" t="n"/>
      <c r="L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Description</t>
        </is>
      </c>
      <c r="C6" s="9" t="inlineStr">
        <is>
          <t>Unit</t>
        </is>
      </c>
      <c r="D6" s="9" t="inlineStr">
        <is>
          <t>Plot A/B</t>
        </is>
      </c>
      <c r="E6" s="9" t="inlineStr">
        <is>
          <t>Plot C/D</t>
        </is>
      </c>
      <c r="F6" s="9" t="inlineStr">
        <is>
          <t>Total qty</t>
        </is>
      </c>
      <c r="G6" s="9" t="inlineStr">
        <is>
          <t>Supply rate
£</t>
        </is>
      </c>
      <c r="H6" s="9" t="inlineStr">
        <is>
          <t>Install rate
£</t>
        </is>
      </c>
      <c r="I6" s="9" t="inlineStr">
        <is>
          <t>Supply
£</t>
        </is>
      </c>
      <c r="J6" s="9" t="inlineStr">
        <is>
          <t>Install
£</t>
        </is>
      </c>
      <c r="K6" s="9" t="inlineStr">
        <is>
          <t>Line total
£</t>
        </is>
      </c>
      <c r="L6" s="9" t="inlineStr">
        <is>
          <t>Notes</t>
        </is>
      </c>
    </row>
    <row r="7">
      <c r="A7" s="30" t="inlineStr">
        <is>
          <t>6A  Timber stud partitions, non-loadbearing - framing (NRM2 16 / package JOI)</t>
        </is>
      </c>
    </row>
    <row r="8" ht="39" customHeight="1">
      <c r="B8" s="34" t="inlineStr">
        <is>
          <t>C16 softwood stud partitions to the TLSTF model and drawings ES26-081-TF-01 / TF-02: studs, head and bottom rails, mid-height noggins. Measured on the wall centre line, length x full height per level (GF 2,575, FF 2,450), gross - door openings NOT deducted (forming openings is measured in 6C). Rate 6A per m2 for framing LABOUR; enter a 6A Supply rate only when pricing a composite m2 rate - otherwise price timber supply in 6B, not both. Plasterboard, tape and skim are in Bill 3.</t>
        </is>
      </c>
    </row>
    <row r="9" ht="26" customHeight="1">
      <c r="A9" s="10" t="inlineStr">
        <is>
          <t>6A.1</t>
        </is>
      </c>
      <c r="B9" s="10" t="inlineStr">
        <is>
          <t>Ground floor partitions, 2,575 high: 38 x 89 C16 studs at 600 c/c, 38 x 89 head and bottom rails (general partitions)</t>
        </is>
      </c>
      <c r="C9" s="10" t="inlineStr">
        <is>
          <t>m2</t>
        </is>
      </c>
      <c r="D9" s="35" t="n">
        <v>29.01</v>
      </c>
      <c r="E9" s="35" t="n">
        <v>29.01</v>
      </c>
      <c r="F9" s="35">
        <f>D9+E9</f>
        <v/>
      </c>
      <c r="G9" s="36" t="n"/>
      <c r="H9" s="36" t="n"/>
      <c r="I9" s="11">
        <f>F9*G9</f>
        <v/>
      </c>
      <c r="J9" s="11">
        <f>F9*H9</f>
        <v/>
      </c>
      <c r="K9" s="37">
        <f>I9+J9</f>
        <v/>
      </c>
      <c r="L9" s="38" t="inlineStr">
        <is>
          <t>Length 11.26 m per plot x 2.575 m</t>
        </is>
      </c>
    </row>
    <row r="10" ht="26" customHeight="1">
      <c r="A10" s="10" t="inlineStr">
        <is>
          <t>6A.2</t>
        </is>
      </c>
      <c r="B10" s="10" t="inlineStr">
        <is>
          <t>Ground floor partitions, 2,575 high: 38 x 89 C16 studs at 400 c/c, 38 x 89 rails (bathroom walls, pattressed)</t>
        </is>
      </c>
      <c r="C10" s="10" t="inlineStr">
        <is>
          <t>m2</t>
        </is>
      </c>
      <c r="D10" s="35" t="n">
        <v>17.32</v>
      </c>
      <c r="E10" s="35" t="n">
        <v>17.32</v>
      </c>
      <c r="F10" s="35">
        <f>D10+E10</f>
        <v/>
      </c>
      <c r="G10" s="36" t="n"/>
      <c r="H10" s="36" t="n"/>
      <c r="I10" s="11">
        <f>F10*G10</f>
        <v/>
      </c>
      <c r="J10" s="11">
        <f>F10*H10</f>
        <v/>
      </c>
      <c r="K10" s="37">
        <f>I10+J10</f>
        <v/>
      </c>
      <c r="L10" s="38" t="inlineStr">
        <is>
          <t>Length 6.73 m per plot x 2.575 m</t>
        </is>
      </c>
    </row>
    <row r="11" ht="26" customHeight="1">
      <c r="A11" s="10" t="inlineStr">
        <is>
          <t>6A.3</t>
        </is>
      </c>
      <c r="B11" s="10" t="inlineStr">
        <is>
          <t>Ground floor partitions, 2,575 high: 38 x 47 C16 studs at 600 c/c, 38 x 47 rails (riser / pipe boxing)</t>
        </is>
      </c>
      <c r="C11" s="10" t="inlineStr">
        <is>
          <t>m2</t>
        </is>
      </c>
      <c r="D11" s="35" t="n">
        <v>2.56</v>
      </c>
      <c r="E11" s="35" t="n">
        <v>2.56</v>
      </c>
      <c r="F11" s="35">
        <f>D11+E11</f>
        <v/>
      </c>
      <c r="G11" s="36" t="n"/>
      <c r="H11" s="36" t="n"/>
      <c r="I11" s="11">
        <f>F11*G11</f>
        <v/>
      </c>
      <c r="J11" s="11">
        <f>F11*H11</f>
        <v/>
      </c>
      <c r="K11" s="37">
        <f>I11+J11</f>
        <v/>
      </c>
      <c r="L11" s="38" t="inlineStr">
        <is>
          <t>Length 0.99 m per plot x 2.575 m</t>
        </is>
      </c>
    </row>
    <row r="12" ht="26" customHeight="1">
      <c r="A12" s="10" t="inlineStr">
        <is>
          <t>6A.4</t>
        </is>
      </c>
      <c r="B12" s="10" t="inlineStr">
        <is>
          <t>First floor partitions, 2,450 high: 38 x 89 C16 studs at 600 c/c, 38 x 89 head and bottom rails (general partitions)</t>
        </is>
      </c>
      <c r="C12" s="10" t="inlineStr">
        <is>
          <t>m2</t>
        </is>
      </c>
      <c r="D12" s="35" t="n">
        <v>27.67</v>
      </c>
      <c r="E12" s="35" t="n">
        <v>27.67</v>
      </c>
      <c r="F12" s="35">
        <f>D12+E12</f>
        <v/>
      </c>
      <c r="G12" s="36" t="n"/>
      <c r="H12" s="36" t="n"/>
      <c r="I12" s="11">
        <f>F12*G12</f>
        <v/>
      </c>
      <c r="J12" s="11">
        <f>F12*H12</f>
        <v/>
      </c>
      <c r="K12" s="37">
        <f>I12+J12</f>
        <v/>
      </c>
      <c r="L12" s="38" t="inlineStr">
        <is>
          <t>Length 11.29 m per plot x 2.450 m</t>
        </is>
      </c>
    </row>
    <row r="13" ht="26" customHeight="1">
      <c r="A13" s="10" t="inlineStr">
        <is>
          <t>6A.5</t>
        </is>
      </c>
      <c r="B13" s="10" t="inlineStr">
        <is>
          <t>First floor partitions, 2,450 high: 38 x 89 C16 studs at 400 c/c, 38 x 89 rails (bathroom walls, pattressed)</t>
        </is>
      </c>
      <c r="C13" s="10" t="inlineStr">
        <is>
          <t>m2</t>
        </is>
      </c>
      <c r="D13" s="35" t="n">
        <v>16.48</v>
      </c>
      <c r="E13" s="35" t="n">
        <v>16.48</v>
      </c>
      <c r="F13" s="35">
        <f>D13+E13</f>
        <v/>
      </c>
      <c r="G13" s="36" t="n"/>
      <c r="H13" s="36" t="n"/>
      <c r="I13" s="11">
        <f>F13*G13</f>
        <v/>
      </c>
      <c r="J13" s="11">
        <f>F13*H13</f>
        <v/>
      </c>
      <c r="K13" s="37">
        <f>I13+J13</f>
        <v/>
      </c>
      <c r="L13" s="38" t="inlineStr">
        <is>
          <t>Length 6.73 m per plot x 2.450 m</t>
        </is>
      </c>
    </row>
    <row r="14" ht="26" customHeight="1">
      <c r="A14" s="10" t="inlineStr">
        <is>
          <t>6A.6</t>
        </is>
      </c>
      <c r="B14" s="10" t="inlineStr">
        <is>
          <t>First floor partitions, 2,450 high: 38 x 47 C16 studs at 600 c/c, 38 x 47 rails (riser / pipe boxing)</t>
        </is>
      </c>
      <c r="C14" s="10" t="inlineStr">
        <is>
          <t>m2</t>
        </is>
      </c>
      <c r="D14" s="35" t="n">
        <v>2.43</v>
      </c>
      <c r="E14" s="35" t="n">
        <v>2.43</v>
      </c>
      <c r="F14" s="35">
        <f>D14+E14</f>
        <v/>
      </c>
      <c r="G14" s="36" t="n"/>
      <c r="H14" s="36" t="n"/>
      <c r="I14" s="11">
        <f>F14*G14</f>
        <v/>
      </c>
      <c r="J14" s="11">
        <f>F14*H14</f>
        <v/>
      </c>
      <c r="K14" s="37">
        <f>I14+J14</f>
        <v/>
      </c>
      <c r="L14" s="38" t="inlineStr">
        <is>
          <t>Length 0.99 m per plot x 2.450 m</t>
        </is>
      </c>
    </row>
    <row r="15">
      <c r="A15" s="30" t="inlineStr">
        <is>
          <t>6B  Partition timber - supply by section and grade (NRM2 16 / package JOI)</t>
        </is>
      </c>
    </row>
    <row r="16" ht="26" customHeight="1">
      <c r="B16" s="34" t="inlineStr">
        <is>
          <t>Linear metres of C16 sawn softwood from the TLSTF model member cut lengths (pieces in Notes). Order guide in 4.8 m lengths = run x 1.05 / 4.8, not cut-optimised (as the TF sheets). Door-gap bottom-rail pieces cut out on site are not measured. Supply only - framing labour is in 6A / 6C.</t>
        </is>
      </c>
    </row>
    <row r="17" ht="26" customHeight="1">
      <c r="A17" s="10" t="inlineStr">
        <is>
          <t>6B.1</t>
        </is>
      </c>
      <c r="B17" s="10" t="inlineStr">
        <is>
          <t>38 x 89 C16 kiln-dried sawn softwood: studs, king studs and cripple / board-support studs</t>
        </is>
      </c>
      <c r="C17" s="10" t="inlineStr">
        <is>
          <t>m</t>
        </is>
      </c>
      <c r="D17" s="35" t="n">
        <v>256.02</v>
      </c>
      <c r="E17" s="35" t="n">
        <v>258.26</v>
      </c>
      <c r="F17" s="35">
        <f>D17+E17</f>
        <v/>
      </c>
      <c r="G17" s="36" t="n"/>
      <c r="H17" s="36" t="n"/>
      <c r="I17" s="11">
        <f>F17*G17</f>
        <v/>
      </c>
      <c r="J17" s="11">
        <f>F17*H17</f>
        <v/>
      </c>
      <c r="K17" s="37">
        <f>I17+J17</f>
        <v/>
      </c>
      <c r="L17" s="38" t="inlineStr">
        <is>
          <t>139 / 140 pieces (A/B / C/D)</t>
        </is>
      </c>
    </row>
    <row r="18" ht="26" customHeight="1">
      <c r="A18" s="10" t="inlineStr">
        <is>
          <t>6B.2</t>
        </is>
      </c>
      <c r="B18" s="10" t="inlineStr">
        <is>
          <t>38 x 89 C16 kiln-dried sawn softwood: head and bottom rails, incl. door head rails</t>
        </is>
      </c>
      <c r="C18" s="10" t="inlineStr">
        <is>
          <t>m</t>
        </is>
      </c>
      <c r="D18" s="35" t="n">
        <v>71.97</v>
      </c>
      <c r="E18" s="35" t="n">
        <v>71.97</v>
      </c>
      <c r="F18" s="35">
        <f>D18+E18</f>
        <v/>
      </c>
      <c r="G18" s="36" t="n"/>
      <c r="H18" s="36" t="n"/>
      <c r="I18" s="11">
        <f>F18*G18</f>
        <v/>
      </c>
      <c r="J18" s="11">
        <f>F18*H18</f>
        <v/>
      </c>
      <c r="K18" s="37">
        <f>I18+J18</f>
        <v/>
      </c>
      <c r="L18" s="38" t="inlineStr">
        <is>
          <t>58 / 58 pieces (A/B / C/D)</t>
        </is>
      </c>
    </row>
    <row r="19" ht="26" customHeight="1">
      <c r="A19" s="10" t="inlineStr">
        <is>
          <t>6B.3</t>
        </is>
      </c>
      <c r="B19" s="10" t="inlineStr">
        <is>
          <t>38 x 89 C16 kiln-dried sawn softwood: noggins (mid-height, fixing and board support)</t>
        </is>
      </c>
      <c r="C19" s="10" t="inlineStr">
        <is>
          <t>m</t>
        </is>
      </c>
      <c r="D19" s="35" t="n">
        <v>21.11</v>
      </c>
      <c r="E19" s="35" t="n">
        <v>21.07</v>
      </c>
      <c r="F19" s="35">
        <f>D19+E19</f>
        <v/>
      </c>
      <c r="G19" s="36" t="n"/>
      <c r="H19" s="36" t="n"/>
      <c r="I19" s="11">
        <f>F19*G19</f>
        <v/>
      </c>
      <c r="J19" s="11">
        <f>F19*H19</f>
        <v/>
      </c>
      <c r="K19" s="37">
        <f>I19+J19</f>
        <v/>
      </c>
      <c r="L19" s="38" t="inlineStr">
        <is>
          <t>69 / 70 pieces (A/B / C/D)</t>
        </is>
      </c>
    </row>
    <row r="20" ht="15" customHeight="1">
      <c r="A20" s="10" t="inlineStr">
        <is>
          <t>6B.4</t>
        </is>
      </c>
      <c r="B20" s="10" t="inlineStr">
        <is>
          <t>38 x 47 C16 kiln-dried sawn softwood: studs (riser boxing)</t>
        </is>
      </c>
      <c r="C20" s="10" t="inlineStr">
        <is>
          <t>m</t>
        </is>
      </c>
      <c r="D20" s="35" t="n">
        <v>24.32</v>
      </c>
      <c r="E20" s="35" t="n">
        <v>24.32</v>
      </c>
      <c r="F20" s="35">
        <f>D20+E20</f>
        <v/>
      </c>
      <c r="G20" s="36" t="n"/>
      <c r="H20" s="36" t="n"/>
      <c r="I20" s="11">
        <f>F20*G20</f>
        <v/>
      </c>
      <c r="J20" s="11">
        <f>F20*H20</f>
        <v/>
      </c>
      <c r="K20" s="37">
        <f>I20+J20</f>
        <v/>
      </c>
      <c r="L20" s="38" t="inlineStr">
        <is>
          <t>10 / 10 pieces (A/B / C/D)</t>
        </is>
      </c>
    </row>
    <row r="21" ht="26" customHeight="1">
      <c r="A21" s="10" t="inlineStr">
        <is>
          <t>6B.5</t>
        </is>
      </c>
      <c r="B21" s="10" t="inlineStr">
        <is>
          <t>38 x 47 C16 kiln-dried sawn softwood: head and bottom rails (riser boxing)</t>
        </is>
      </c>
      <c r="C21" s="10" t="inlineStr">
        <is>
          <t>m</t>
        </is>
      </c>
      <c r="D21" s="35" t="n">
        <v>3.95</v>
      </c>
      <c r="E21" s="35" t="n">
        <v>3.95</v>
      </c>
      <c r="F21" s="35">
        <f>D21+E21</f>
        <v/>
      </c>
      <c r="G21" s="36" t="n"/>
      <c r="H21" s="36" t="n"/>
      <c r="I21" s="11">
        <f>F21*G21</f>
        <v/>
      </c>
      <c r="J21" s="11">
        <f>F21*H21</f>
        <v/>
      </c>
      <c r="K21" s="37">
        <f>I21+J21</f>
        <v/>
      </c>
      <c r="L21" s="38" t="inlineStr">
        <is>
          <t>8 / 8 pieces (A/B / C/D)</t>
        </is>
      </c>
    </row>
    <row r="22" ht="26" customHeight="1">
      <c r="A22" s="10" t="inlineStr">
        <is>
          <t>6B.6</t>
        </is>
      </c>
      <c r="B22" s="10" t="inlineStr">
        <is>
          <t>38 x 47 C16 kiln-dried sawn softwood: noggins (riser boxing)</t>
        </is>
      </c>
      <c r="C22" s="10" t="inlineStr">
        <is>
          <t>m</t>
        </is>
      </c>
      <c r="D22" s="35" t="n">
        <v>1.58</v>
      </c>
      <c r="E22" s="35" t="n">
        <v>1.58</v>
      </c>
      <c r="F22" s="35">
        <f>D22+E22</f>
        <v/>
      </c>
      <c r="G22" s="36" t="n"/>
      <c r="H22" s="36" t="n"/>
      <c r="I22" s="11">
        <f>F22*G22</f>
        <v/>
      </c>
      <c r="J22" s="11">
        <f>F22*H22</f>
        <v/>
      </c>
      <c r="K22" s="37">
        <f>I22+J22</f>
        <v/>
      </c>
      <c r="L22" s="38" t="inlineStr">
        <is>
          <t>6 / 6 pieces (A/B / C/D)</t>
        </is>
      </c>
    </row>
    <row r="23" ht="26" customHeight="1">
      <c r="A23" s="41" t="inlineStr">
        <is>
          <t>6B.7</t>
        </is>
      </c>
      <c r="B23" s="41" t="inlineStr">
        <is>
          <t>38 x 89 C16 - 4.8 m lengths to order (run +5%, not cut-optimised)</t>
        </is>
      </c>
      <c r="C23" s="41" t="inlineStr">
        <is>
          <t>nr</t>
        </is>
      </c>
      <c r="D23" s="42" t="n">
        <v>77</v>
      </c>
      <c r="E23" s="42" t="n">
        <v>77</v>
      </c>
      <c r="F23" s="42">
        <f>D23+E23</f>
        <v/>
      </c>
      <c r="G23" s="43" t="n"/>
      <c r="H23" s="43" t="n"/>
      <c r="I23" s="43" t="n"/>
      <c r="J23" s="43" t="n"/>
      <c r="K23" s="44" t="inlineStr">
        <is>
          <t>not priced</t>
        </is>
      </c>
      <c r="L23" s="45" t="inlineStr">
        <is>
          <t>Ordering guide only - not priced in addition to the runs above</t>
        </is>
      </c>
    </row>
    <row r="24" ht="26" customHeight="1">
      <c r="A24" s="41" t="inlineStr">
        <is>
          <t>6B.8</t>
        </is>
      </c>
      <c r="B24" s="41" t="inlineStr">
        <is>
          <t>38 x 47 C16 - 4.8 m lengths to order (run +5%, not cut-optimised)</t>
        </is>
      </c>
      <c r="C24" s="41" t="inlineStr">
        <is>
          <t>nr</t>
        </is>
      </c>
      <c r="D24" s="42" t="n">
        <v>7</v>
      </c>
      <c r="E24" s="42" t="n">
        <v>7</v>
      </c>
      <c r="F24" s="42">
        <f>D24+E24</f>
        <v/>
      </c>
      <c r="G24" s="43" t="n"/>
      <c r="H24" s="43" t="n"/>
      <c r="I24" s="43" t="n"/>
      <c r="J24" s="43" t="n"/>
      <c r="K24" s="44" t="inlineStr">
        <is>
          <t>not priced</t>
        </is>
      </c>
      <c r="L24" s="45" t="inlineStr">
        <is>
          <t>Ordering guide only - not priced in addition to the runs above</t>
        </is>
      </c>
    </row>
    <row r="25">
      <c r="A25" s="30" t="inlineStr">
        <is>
          <t>6C  Forming door openings in partitions (NRM2 16 / package JOI)</t>
        </is>
      </c>
    </row>
    <row r="26" ht="26" customHeight="1">
      <c r="B26" s="34" t="inlineStr">
        <is>
          <t>Per opening, from the TLSTF model: 2 full-height king studs, 38 x 89 head rail at 2,100 above the bottom rail, cripple studs over the head (2 board-support cripples at the jambs plus intermediates on the stud grid) and the bottom rail cut out across the gap. Timber is in 6B; the rate is per opening (labour; supply only for extra fixings / packers).</t>
        </is>
      </c>
    </row>
    <row r="27" ht="26" customHeight="1">
      <c r="A27" s="10" t="inlineStr">
        <is>
          <t>6C.1</t>
        </is>
      </c>
      <c r="B27" s="10" t="inlineStr">
        <is>
          <t>Form door opening 610 wide x 2,100 high in 89 partition (cupboard): 2 king studs, head rail 610, 4 cripple studs over</t>
        </is>
      </c>
      <c r="C27" s="10" t="inlineStr">
        <is>
          <t>nr</t>
        </is>
      </c>
      <c r="D27" s="35" t="n">
        <v>1</v>
      </c>
      <c r="E27" s="35" t="n">
        <v>1</v>
      </c>
      <c r="F27" s="35">
        <f>D27+E27</f>
        <v/>
      </c>
      <c r="G27" s="36" t="n"/>
      <c r="H27" s="36" t="n"/>
      <c r="I27" s="11">
        <f>F27*G27</f>
        <v/>
      </c>
      <c r="J27" s="11">
        <f>F27*H27</f>
        <v/>
      </c>
      <c r="K27" s="37">
        <f>I27+J27</f>
        <v/>
      </c>
      <c r="L27" s="38" t="inlineStr">
        <is>
          <t>GF 0 / FF 2 (both plots); doorsets in Bill 4</t>
        </is>
      </c>
    </row>
    <row r="28" ht="39" customHeight="1">
      <c r="A28" s="10" t="inlineStr">
        <is>
          <t>6C.2</t>
        </is>
      </c>
      <c r="B28" s="10" t="inlineStr">
        <is>
          <t>Form door opening 810 wide x 2,100 high in 89 partition (store / cupboard): 2 king studs, head rail 810, 3 cripple studs over</t>
        </is>
      </c>
      <c r="C28" s="10" t="inlineStr">
        <is>
          <t>nr</t>
        </is>
      </c>
      <c r="D28" s="35" t="n">
        <v>2</v>
      </c>
      <c r="E28" s="35" t="n">
        <v>2</v>
      </c>
      <c r="F28" s="35">
        <f>D28+E28</f>
        <v/>
      </c>
      <c r="G28" s="36" t="n"/>
      <c r="H28" s="36" t="n"/>
      <c r="I28" s="11">
        <f>F28*G28</f>
        <v/>
      </c>
      <c r="J28" s="11">
        <f>F28*H28</f>
        <v/>
      </c>
      <c r="K28" s="37">
        <f>I28+J28</f>
        <v/>
      </c>
      <c r="L28" s="38" t="inlineStr">
        <is>
          <t>GF 2 / FF 2 (both plots); doorsets in Bill 4</t>
        </is>
      </c>
    </row>
    <row r="29" ht="39" customHeight="1">
      <c r="A29" s="10" t="inlineStr">
        <is>
          <t>6C.3</t>
        </is>
      </c>
      <c r="B29" s="10" t="inlineStr">
        <is>
          <t>Form door opening 910 wide x 2,100 high in 89 partition (room door): 2 king studs, head rail 910, 3 or 4 cripple studs over</t>
        </is>
      </c>
      <c r="C29" s="10" t="inlineStr">
        <is>
          <t>nr</t>
        </is>
      </c>
      <c r="D29" s="35" t="n">
        <v>6</v>
      </c>
      <c r="E29" s="35" t="n">
        <v>6</v>
      </c>
      <c r="F29" s="35">
        <f>D29+E29</f>
        <v/>
      </c>
      <c r="G29" s="36" t="n"/>
      <c r="H29" s="36" t="n"/>
      <c r="I29" s="11">
        <f>F29*G29</f>
        <v/>
      </c>
      <c r="J29" s="11">
        <f>F29*H29</f>
        <v/>
      </c>
      <c r="K29" s="37">
        <f>I29+J29</f>
        <v/>
      </c>
      <c r="L29" s="38" t="inlineStr">
        <is>
          <t>GF 6 / FF 6 (both plots); doorsets in Bill 4</t>
        </is>
      </c>
    </row>
    <row r="30" ht="39" customHeight="1">
      <c r="A30" s="10" t="inlineStr">
        <is>
          <t>6C.4</t>
        </is>
      </c>
      <c r="B30" s="10" t="inlineStr">
        <is>
          <t>Form door opening 1,210 wide x 2,100 high in 89 partition (cupboard pair): 2 king studs, head rail 1,210, 3 or 4 cripple studs over</t>
        </is>
      </c>
      <c r="C30" s="10" t="inlineStr">
        <is>
          <t>nr</t>
        </is>
      </c>
      <c r="D30" s="35" t="n">
        <v>2</v>
      </c>
      <c r="E30" s="35" t="n">
        <v>2</v>
      </c>
      <c r="F30" s="35">
        <f>D30+E30</f>
        <v/>
      </c>
      <c r="G30" s="36" t="n"/>
      <c r="H30" s="36" t="n"/>
      <c r="I30" s="11">
        <f>F30*G30</f>
        <v/>
      </c>
      <c r="J30" s="11">
        <f>F30*H30</f>
        <v/>
      </c>
      <c r="K30" s="37">
        <f>I30+J30</f>
        <v/>
      </c>
      <c r="L30" s="38" t="inlineStr">
        <is>
          <t>GF 2 / FF 2 (both plots); doorsets in Bill 4</t>
        </is>
      </c>
    </row>
    <row r="31">
      <c r="A31" s="30" t="inlineStr">
        <is>
          <t>6D  Pattresses, noggins to floor and roof structure, head restraint (NRM2 16 / package JOI)</t>
        </is>
      </c>
    </row>
    <row r="32" ht="39" customHeight="1">
      <c r="B32" s="34" t="inlineStr">
        <is>
          <t>From the LEP2 build reports and the TLSTF extract. Pattress: 18 mm WBP plywood between studs on the bathroom face of the 400 c/c walls for sanitaryware and fittings. Floor noggins between the PS10 metal-web joists where a partition runs parallel to them (GF head fixing and FF bottom-rail support). Ceiling noggins between truss bottom chords where an FF partition runs parallel; slotted head-restraint clips allow truss deflection.</t>
        </is>
      </c>
    </row>
    <row r="33" ht="26" customHeight="1">
      <c r="A33" s="10" t="inlineStr">
        <is>
          <t>6D.1</t>
        </is>
      </c>
      <c r="B33" s="10" t="inlineStr">
        <is>
          <t>18 mm WBP plywood pattress boards between studs, bathroom face, cut to fit (bands 150-1,950 above floor)</t>
        </is>
      </c>
      <c r="C33" s="10" t="inlineStr">
        <is>
          <t>m2</t>
        </is>
      </c>
      <c r="D33" s="35" t="n">
        <v>16.66</v>
      </c>
      <c r="E33" s="35" t="n">
        <v>16.68</v>
      </c>
      <c r="F33" s="35">
        <f>D33+E33</f>
        <v/>
      </c>
      <c r="G33" s="36" t="n"/>
      <c r="H33" s="36" t="n"/>
      <c r="I33" s="11">
        <f>F33*G33</f>
        <v/>
      </c>
      <c r="J33" s="11">
        <f>F33*H33</f>
        <v/>
      </c>
      <c r="K33" s="37">
        <f>I33+J33</f>
        <v/>
      </c>
      <c r="L33" s="38" t="inlineStr">
        <is>
          <t>54 / 58 pieces (A/B / C/D); handed walls differ slightly</t>
        </is>
      </c>
    </row>
    <row r="34" ht="26" customHeight="1">
      <c r="A34" s="10" t="inlineStr">
        <is>
          <t>6D.2</t>
        </is>
      </c>
      <c r="B34" s="10" t="inlineStr">
        <is>
          <t>Noggins 47 x 250 C24 x 301 long between floor joists over partitions, skew-nailed or on hangers</t>
        </is>
      </c>
      <c r="C34" s="10" t="inlineStr">
        <is>
          <t>nr</t>
        </is>
      </c>
      <c r="D34" s="35" t="n">
        <v>15</v>
      </c>
      <c r="E34" s="35" t="n">
        <v>15</v>
      </c>
      <c r="F34" s="35">
        <f>D34+E34</f>
        <v/>
      </c>
      <c r="G34" s="36" t="n"/>
      <c r="H34" s="36" t="n"/>
      <c r="I34" s="11">
        <f>F34*G34</f>
        <v/>
      </c>
      <c r="J34" s="11">
        <f>F34*H34</f>
        <v/>
      </c>
      <c r="K34" s="37">
        <f>I34+J34</f>
        <v/>
      </c>
      <c r="L34" s="38" t="inlineStr">
        <is>
          <t>9.03 m in total; at max 600 c/c plus ends and door jambs</t>
        </is>
      </c>
    </row>
    <row r="35" ht="26" customHeight="1">
      <c r="A35" s="10" t="inlineStr">
        <is>
          <t>6D.3</t>
        </is>
      </c>
      <c r="B35" s="10" t="inlineStr">
        <is>
          <t>Noggins 47 x 72 C24 x 528 long between truss bottom chords over FF partitions</t>
        </is>
      </c>
      <c r="C35" s="10" t="inlineStr">
        <is>
          <t>nr</t>
        </is>
      </c>
      <c r="D35" s="35" t="n">
        <v>31</v>
      </c>
      <c r="E35" s="35" t="n">
        <v>31</v>
      </c>
      <c r="F35" s="35">
        <f>D35+E35</f>
        <v/>
      </c>
      <c r="G35" s="36" t="n"/>
      <c r="H35" s="36" t="n"/>
      <c r="I35" s="11">
        <f>F35*G35</f>
        <v/>
      </c>
      <c r="J35" s="11">
        <f>F35*H35</f>
        <v/>
      </c>
      <c r="K35" s="37">
        <f>I35+J35</f>
        <v/>
      </c>
      <c r="L35" s="38" t="inlineStr">
        <is>
          <t>32.74 m in total</t>
        </is>
      </c>
    </row>
    <row r="36" ht="39" customHeight="1">
      <c r="A36" s="10" t="inlineStr">
        <is>
          <t>6D.4</t>
        </is>
      </c>
      <c r="B36" s="10" t="inlineStr">
        <is>
          <t>Partition head-restraint clip, slotted (Simpson Strong-Tie STC or UK equivalent - confirm), FF head rail to truss chord / noggin</t>
        </is>
      </c>
      <c r="C36" s="10" t="inlineStr">
        <is>
          <t>nr</t>
        </is>
      </c>
      <c r="D36" s="35" t="n">
        <v>45</v>
      </c>
      <c r="E36" s="35" t="n">
        <v>45</v>
      </c>
      <c r="F36" s="35">
        <f>D36+E36</f>
        <v/>
      </c>
      <c r="G36" s="36" t="n"/>
      <c r="H36" s="36" t="n"/>
      <c r="I36" s="11">
        <f>F36*G36</f>
        <v/>
      </c>
      <c r="J36" s="11">
        <f>F36*H36</f>
        <v/>
      </c>
      <c r="K36" s="37">
        <f>I36+J36</f>
        <v/>
      </c>
      <c r="L36" s="38" t="inlineStr">
        <is>
          <t>5 mm deflection gap kept at the head</t>
        </is>
      </c>
    </row>
    <row r="37">
      <c r="A37" s="30" t="inlineStr">
        <is>
          <t>6E  Fixings and sundries (NRM2 16 / package JOI)</t>
        </is>
      </c>
    </row>
    <row r="38" ht="13" customHeight="1">
      <c r="B38" s="34" t="inlineStr">
        <is>
          <t>Bottom rail fixings measured along the rail length (door gaps excluded). Fixing types are proposals - confirm with the designer.</t>
        </is>
      </c>
    </row>
    <row r="39" ht="39" customHeight="1">
      <c r="A39" s="10" t="inlineStr">
        <is>
          <t>6E.1</t>
        </is>
      </c>
      <c r="B39" s="10" t="inlineStr">
        <is>
          <t>Fix GF bottom rails to the ground-bearing slab / screed: concrete screws or shot-fired fixings at max 600 c/c, on DPC strip (confirm)</t>
        </is>
      </c>
      <c r="C39" s="10" t="inlineStr">
        <is>
          <t>m</t>
        </is>
      </c>
      <c r="D39" s="35" t="n">
        <v>14.22</v>
      </c>
      <c r="E39" s="35" t="n">
        <v>14.22</v>
      </c>
      <c r="F39" s="35">
        <f>D39+E39</f>
        <v/>
      </c>
      <c r="G39" s="36" t="n"/>
      <c r="H39" s="36" t="n"/>
      <c r="I39" s="11">
        <f>F39*G39</f>
        <v/>
      </c>
      <c r="J39" s="11">
        <f>F39*H39</f>
        <v/>
      </c>
      <c r="K39" s="37">
        <f>I39+J39</f>
        <v/>
      </c>
      <c r="L39" s="38" t="inlineStr">
        <is>
          <t>GF bottom rail length</t>
        </is>
      </c>
    </row>
    <row r="40" ht="26" customHeight="1">
      <c r="A40" s="10" t="inlineStr">
        <is>
          <t>6E.2</t>
        </is>
      </c>
      <c r="B40" s="10" t="inlineStr">
        <is>
          <t>Fix FF bottom rails through the deck into joists / floor noggins</t>
        </is>
      </c>
      <c r="C40" s="10" t="inlineStr">
        <is>
          <t>m</t>
        </is>
      </c>
      <c r="D40" s="35" t="n">
        <v>13.64</v>
      </c>
      <c r="E40" s="35" t="n">
        <v>13.64</v>
      </c>
      <c r="F40" s="35">
        <f>D40+E40</f>
        <v/>
      </c>
      <c r="G40" s="36" t="n"/>
      <c r="H40" s="36" t="n"/>
      <c r="I40" s="11">
        <f>F40*G40</f>
        <v/>
      </c>
      <c r="J40" s="11">
        <f>F40*H40</f>
        <v/>
      </c>
      <c r="K40" s="37">
        <f>I40+J40</f>
        <v/>
      </c>
      <c r="L40" s="38" t="inlineStr">
        <is>
          <t>FF bottom rail length</t>
        </is>
      </c>
    </row>
    <row r="41" ht="26" customHeight="1">
      <c r="A41" s="10" t="inlineStr">
        <is>
          <t>6E.3</t>
        </is>
      </c>
      <c r="B41" s="10" t="inlineStr">
        <is>
          <t>Head rail fixings: GF heads to joist bottom chords / floor noggins; FF heads via the 6D.4 clips</t>
        </is>
      </c>
      <c r="C41" s="10" t="inlineStr">
        <is>
          <t>item</t>
        </is>
      </c>
      <c r="D41" s="35" t="n"/>
      <c r="E41" s="35" t="n"/>
      <c r="F41" s="35" t="n"/>
      <c r="G41" s="36" t="n"/>
      <c r="H41" s="36" t="n"/>
      <c r="I41" s="11">
        <f>IF(ISNUMBER(F41),F41,1)*G41</f>
        <v/>
      </c>
      <c r="J41" s="11">
        <f>IF(ISNUMBER(F41),F41,1)*H41</f>
        <v/>
      </c>
      <c r="K41" s="37">
        <f>I41+J41</f>
        <v/>
      </c>
      <c r="L41" s="38" t="inlineStr">
        <is>
          <t>Lump sum - the rate entered is the amount. Labour and fixings</t>
        </is>
      </c>
    </row>
    <row r="42" ht="26" customHeight="1">
      <c r="A42" s="10" t="inlineStr">
        <is>
          <t>6E.4</t>
        </is>
      </c>
      <c r="B42" s="10" t="inlineStr">
        <is>
          <t>Nails, screws, framing fixings and sundries for the partition framing</t>
        </is>
      </c>
      <c r="C42" s="10" t="inlineStr">
        <is>
          <t>item</t>
        </is>
      </c>
      <c r="D42" s="35" t="n"/>
      <c r="E42" s="35" t="n"/>
      <c r="F42" s="35" t="n"/>
      <c r="G42" s="36" t="n"/>
      <c r="H42" s="36" t="n"/>
      <c r="I42" s="11">
        <f>IF(ISNUMBER(F42),F42,1)*G42</f>
        <v/>
      </c>
      <c r="J42" s="11">
        <f>IF(ISNUMBER(F42),F42,1)*H42</f>
        <v/>
      </c>
      <c r="K42" s="37">
        <f>I42+J42</f>
        <v/>
      </c>
      <c r="L42" s="38" t="inlineStr">
        <is>
          <t xml:space="preserve">Lump sum - the rate entered is the amount. </t>
        </is>
      </c>
    </row>
    <row r="44" ht="20" customHeight="1">
      <c r="A44" s="23" t="inlineStr">
        <is>
          <t>PACKAGE SUMMARY  -  Bill 6  Timber Stud Partitions - Framing, Openings, Pattresses &amp; Fixings  (package JOI; amounts by others, excl. VAT)</t>
        </is>
      </c>
    </row>
    <row r="45" ht="28" customHeight="1">
      <c r="A45" s="9" t="inlineStr">
        <is>
          <t>Section</t>
        </is>
      </c>
      <c r="B45" s="9" t="inlineStr">
        <is>
          <t>Description</t>
        </is>
      </c>
      <c r="C45" s="26" t="n"/>
      <c r="D45" s="26" t="n"/>
      <c r="E45" s="26" t="n"/>
      <c r="F45" s="26" t="n"/>
      <c r="G45" s="26" t="n"/>
      <c r="H45" s="27" t="n"/>
      <c r="I45" s="9" t="inlineStr">
        <is>
          <t>Supply
£</t>
        </is>
      </c>
      <c r="J45" s="9" t="inlineStr">
        <is>
          <t>Install
£</t>
        </is>
      </c>
      <c r="K45" s="9" t="inlineStr">
        <is>
          <t>Total
£</t>
        </is>
      </c>
      <c r="L45" s="9" t="inlineStr"/>
    </row>
    <row r="46" ht="16" customHeight="1">
      <c r="A46" s="39" t="inlineStr">
        <is>
          <t>6A</t>
        </is>
      </c>
      <c r="B46" s="10" t="inlineStr">
        <is>
          <t>Timber stud partitions, non-loadbearing - framing (NRM2 16 / package JOI)</t>
        </is>
      </c>
      <c r="C46" s="16" t="n"/>
      <c r="D46" s="16" t="n"/>
      <c r="E46" s="16" t="n"/>
      <c r="F46" s="16" t="n"/>
      <c r="G46" s="16" t="n"/>
      <c r="H46" s="16" t="n"/>
      <c r="I46" s="11">
        <f>SUM(I8:I14)</f>
        <v/>
      </c>
      <c r="J46" s="11">
        <f>SUM(J8:J14)</f>
        <v/>
      </c>
      <c r="K46" s="37">
        <f>SUM(K8:K14)</f>
        <v/>
      </c>
    </row>
    <row r="47" ht="16" customHeight="1">
      <c r="A47" s="39" t="inlineStr">
        <is>
          <t>6B</t>
        </is>
      </c>
      <c r="B47" s="10" t="inlineStr">
        <is>
          <t>Partition timber - supply by section and grade (NRM2 16 / package JOI)</t>
        </is>
      </c>
      <c r="C47" s="16" t="n"/>
      <c r="D47" s="16" t="n"/>
      <c r="E47" s="16" t="n"/>
      <c r="F47" s="16" t="n"/>
      <c r="G47" s="16" t="n"/>
      <c r="H47" s="16" t="n"/>
      <c r="I47" s="11">
        <f>SUM(I16:I24)</f>
        <v/>
      </c>
      <c r="J47" s="11">
        <f>SUM(J16:J24)</f>
        <v/>
      </c>
      <c r="K47" s="37">
        <f>SUM(K16:K24)</f>
        <v/>
      </c>
    </row>
    <row r="48" ht="16" customHeight="1">
      <c r="A48" s="39" t="inlineStr">
        <is>
          <t>6C</t>
        </is>
      </c>
      <c r="B48" s="10" t="inlineStr">
        <is>
          <t>Forming door openings in partitions (NRM2 16 / package JOI)</t>
        </is>
      </c>
      <c r="C48" s="16" t="n"/>
      <c r="D48" s="16" t="n"/>
      <c r="E48" s="16" t="n"/>
      <c r="F48" s="16" t="n"/>
      <c r="G48" s="16" t="n"/>
      <c r="H48" s="16" t="n"/>
      <c r="I48" s="11">
        <f>SUM(I26:I30)</f>
        <v/>
      </c>
      <c r="J48" s="11">
        <f>SUM(J26:J30)</f>
        <v/>
      </c>
      <c r="K48" s="37">
        <f>SUM(K26:K30)</f>
        <v/>
      </c>
    </row>
    <row r="49" ht="16" customHeight="1">
      <c r="A49" s="39" t="inlineStr">
        <is>
          <t>6D</t>
        </is>
      </c>
      <c r="B49" s="10" t="inlineStr">
        <is>
          <t>Pattresses, noggins to floor and roof structure, head restraint (NRM2 16 / package JOI)</t>
        </is>
      </c>
      <c r="C49" s="16" t="n"/>
      <c r="D49" s="16" t="n"/>
      <c r="E49" s="16" t="n"/>
      <c r="F49" s="16" t="n"/>
      <c r="G49" s="16" t="n"/>
      <c r="H49" s="16" t="n"/>
      <c r="I49" s="11">
        <f>SUM(I32:I36)</f>
        <v/>
      </c>
      <c r="J49" s="11">
        <f>SUM(J32:J36)</f>
        <v/>
      </c>
      <c r="K49" s="37">
        <f>SUM(K32:K36)</f>
        <v/>
      </c>
    </row>
    <row r="50" ht="16" customHeight="1">
      <c r="A50" s="39" t="inlineStr">
        <is>
          <t>6E</t>
        </is>
      </c>
      <c r="B50" s="10" t="inlineStr">
        <is>
          <t>Fixings and sundries (NRM2 16 / package JOI)</t>
        </is>
      </c>
      <c r="C50" s="16" t="n"/>
      <c r="D50" s="16" t="n"/>
      <c r="E50" s="16" t="n"/>
      <c r="F50" s="16" t="n"/>
      <c r="G50" s="16" t="n"/>
      <c r="H50" s="16" t="n"/>
      <c r="I50" s="11">
        <f>SUM(I38:I42)</f>
        <v/>
      </c>
      <c r="J50" s="11">
        <f>SUM(J38:J42)</f>
        <v/>
      </c>
      <c r="K50" s="37">
        <f>SUM(K38:K42)</f>
        <v/>
      </c>
    </row>
    <row r="51" ht="20" customHeight="1">
      <c r="A51" s="40" t="inlineStr">
        <is>
          <t>PACKAGE TOTAL - Bill 6, carried to the Cover overview</t>
        </is>
      </c>
      <c r="I51" s="13">
        <f>SUM(I46:I50)</f>
        <v/>
      </c>
      <c r="J51" s="13">
        <f>SUM(J46:J50)</f>
        <v/>
      </c>
      <c r="K51" s="13">
        <f>SUM(K46:K50)</f>
        <v/>
      </c>
    </row>
    <row r="52" ht="24" customHeight="1">
      <c r="A52" s="21" t="inlineStr">
        <is>
          <t>Pale-yellow cells are the only inputs (Supply rate, Install rate). Amounts, subtotals and totals are formulas; the sheet is protected without a password (Review &gt; Unprotect Sheet). Amounts exclude VAT and are NOT part of the Nudura ICF price.</t>
        </is>
      </c>
    </row>
  </sheetData>
  <sheetProtection selectLockedCells="0" selectUnlockedCells="0" sheet="1" objects="0" insertRows="1" insertHyperlinks="1" autoFilter="1" scenarios="0" formatColumns="0" deleteColumns="1" insertColumns="1" pivotTables="1" deleteRows="1" formatCells="1" formatRows="0" sort="1"/>
  <mergeCells count="22">
    <mergeCell ref="B26:L26"/>
    <mergeCell ref="A7:L7"/>
    <mergeCell ref="A25:L25"/>
    <mergeCell ref="B16:L16"/>
    <mergeCell ref="B49:H49"/>
    <mergeCell ref="A51:H51"/>
    <mergeCell ref="A37:L37"/>
    <mergeCell ref="B45:H45"/>
    <mergeCell ref="B50:H50"/>
    <mergeCell ref="B47:H47"/>
    <mergeCell ref="A4:L4"/>
    <mergeCell ref="B46:H46"/>
    <mergeCell ref="B8:L8"/>
    <mergeCell ref="A52:L52"/>
    <mergeCell ref="B38:L38"/>
    <mergeCell ref="A31:L31"/>
    <mergeCell ref="A44:L44"/>
    <mergeCell ref="B48:H48"/>
    <mergeCell ref="C1:L1"/>
    <mergeCell ref="A15:L15"/>
    <mergeCell ref="B32:L32"/>
    <mergeCell ref="C2:L2"/>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I24"/>
  <sheetViews>
    <sheetView showGridLines="0" workbookViewId="0">
      <pane ySplit="6" topLeftCell="A7" activePane="bottomLeft" state="frozen"/>
      <selection pane="bottomLeft" activeCell="A1" sqref="A1"/>
    </sheetView>
  </sheetViews>
  <sheetFormatPr baseColWidth="8" defaultRowHeight="15"/>
  <cols>
    <col width="6" customWidth="1" min="1" max="1"/>
    <col width="9" customWidth="1" min="2" max="2"/>
    <col width="34" customWidth="1" min="3" max="3"/>
    <col width="11" customWidth="1" min="4" max="4"/>
    <col width="11" customWidth="1" min="5" max="5"/>
    <col width="11" customWidth="1" min="6" max="6"/>
    <col width="11" customWidth="1" min="7" max="7"/>
    <col width="11" customWidth="1" min="8" max="8"/>
    <col width="50" customWidth="1" min="9" max="9"/>
  </cols>
  <sheetData>
    <row r="1" ht="22" customHeight="1">
      <c r="C1" s="1" t="inlineStr">
        <is>
          <t>Schedule A - Floor Areas by Room (per plot)</t>
        </is>
      </c>
    </row>
    <row r="2" ht="18" customHeight="1">
      <c r="C2" s="2" t="inlineStr">
        <is>
          <t>Drawn schedule vs geometry check. Adopted = drawn area, else geometry. Not priced.</t>
        </is>
      </c>
    </row>
    <row r="3" ht="4" customHeight="1">
      <c r="A3" s="3" t="n"/>
      <c r="B3" s="3" t="n"/>
      <c r="C3" s="3" t="n"/>
      <c r="D3" s="3" t="n"/>
      <c r="E3" s="3" t="n"/>
      <c r="F3" s="3" t="n"/>
      <c r="G3" s="3" t="n"/>
      <c r="H3" s="3" t="n"/>
      <c r="I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Level</t>
        </is>
      </c>
      <c r="B6" s="9" t="inlineStr">
        <is>
          <t>Flat</t>
        </is>
      </c>
      <c r="C6" s="9" t="inlineStr">
        <is>
          <t>Room</t>
        </is>
      </c>
      <c r="D6" s="9" t="inlineStr">
        <is>
          <t>Drawn m2</t>
        </is>
      </c>
      <c r="E6" s="9" t="inlineStr">
        <is>
          <t>Geometry m2</t>
        </is>
      </c>
      <c r="F6" s="9" t="inlineStr">
        <is>
          <t>Adopted A/B m2</t>
        </is>
      </c>
      <c r="G6" s="9" t="inlineStr">
        <is>
          <t>C/D m2</t>
        </is>
      </c>
      <c r="H6" s="9" t="inlineStr">
        <is>
          <t>Total m2</t>
        </is>
      </c>
      <c r="I6" s="9" t="inlineStr">
        <is>
          <t>Notes</t>
        </is>
      </c>
    </row>
    <row r="7">
      <c r="A7" s="10" t="inlineStr">
        <is>
          <t>GF</t>
        </is>
      </c>
      <c r="B7" s="10" t="inlineStr">
        <is>
          <t>GF flat</t>
        </is>
      </c>
      <c r="C7" s="10" t="inlineStr">
        <is>
          <t>Living/Kitchen</t>
        </is>
      </c>
      <c r="D7" s="50" t="n">
        <v>20.6</v>
      </c>
      <c r="E7" s="50" t="n">
        <v>20.57</v>
      </c>
      <c r="F7" s="50" t="n">
        <v>20.6</v>
      </c>
      <c r="G7" s="50">
        <f>F7</f>
        <v/>
      </c>
      <c r="H7" s="50">
        <f>F7+G7</f>
        <v/>
      </c>
      <c r="I7" s="10" t="inlineStr"/>
    </row>
    <row r="8">
      <c r="A8" s="10" t="inlineStr">
        <is>
          <t>GF</t>
        </is>
      </c>
      <c r="B8" s="10" t="inlineStr">
        <is>
          <t>GF flat</t>
        </is>
      </c>
      <c r="C8" s="10" t="inlineStr">
        <is>
          <t>Cupboard (G8/G9, unlabelled)</t>
        </is>
      </c>
      <c r="D8" s="50" t="n"/>
      <c r="E8" s="50" t="n">
        <v>0.72</v>
      </c>
      <c r="F8" s="50" t="n">
        <v>0.72</v>
      </c>
      <c r="G8" s="50">
        <f>F8</f>
        <v/>
      </c>
      <c r="H8" s="50">
        <f>F8+G8</f>
        <v/>
      </c>
      <c r="I8" s="10" t="inlineStr">
        <is>
          <t>not named on drawing</t>
        </is>
      </c>
    </row>
    <row r="9">
      <c r="A9" s="10" t="inlineStr">
        <is>
          <t>GF</t>
        </is>
      </c>
      <c r="B9" s="10" t="inlineStr">
        <is>
          <t>GF flat</t>
        </is>
      </c>
      <c r="C9" s="10" t="inlineStr">
        <is>
          <t>Bathroom</t>
        </is>
      </c>
      <c r="D9" s="50" t="n">
        <v>4.5</v>
      </c>
      <c r="E9" s="50" t="n">
        <v>4.51</v>
      </c>
      <c r="F9" s="50" t="n">
        <v>4.5</v>
      </c>
      <c r="G9" s="50">
        <f>F9</f>
        <v/>
      </c>
      <c r="H9" s="50">
        <f>F9+G9</f>
        <v/>
      </c>
      <c r="I9" s="10" t="inlineStr"/>
    </row>
    <row r="10">
      <c r="A10" s="10" t="inlineStr">
        <is>
          <t>GF</t>
        </is>
      </c>
      <c r="B10" s="10" t="inlineStr">
        <is>
          <t>GF flat</t>
        </is>
      </c>
      <c r="C10" s="10" t="inlineStr">
        <is>
          <t>Hall</t>
        </is>
      </c>
      <c r="D10" s="50" t="n">
        <v>5.5</v>
      </c>
      <c r="E10" s="50" t="n">
        <v>5.51</v>
      </c>
      <c r="F10" s="50" t="n">
        <v>5.5</v>
      </c>
      <c r="G10" s="50">
        <f>F10</f>
        <v/>
      </c>
      <c r="H10" s="50">
        <f>F10+G10</f>
        <v/>
      </c>
      <c r="I10" s="10" t="inlineStr"/>
    </row>
    <row r="11">
      <c r="A11" s="10" t="inlineStr">
        <is>
          <t>GF</t>
        </is>
      </c>
      <c r="B11" s="10" t="inlineStr">
        <is>
          <t>GF flat</t>
        </is>
      </c>
      <c r="C11" s="10" t="inlineStr">
        <is>
          <t>Bedroom 1</t>
        </is>
      </c>
      <c r="D11" s="50" t="n">
        <v>13.3</v>
      </c>
      <c r="E11" s="50" t="n">
        <v>13.27</v>
      </c>
      <c r="F11" s="50" t="n">
        <v>13.3</v>
      </c>
      <c r="G11" s="50">
        <f>F11</f>
        <v/>
      </c>
      <c r="H11" s="50">
        <f>F11+G11</f>
        <v/>
      </c>
      <c r="I11" s="10" t="inlineStr"/>
    </row>
    <row r="12">
      <c r="A12" s="10" t="inlineStr">
        <is>
          <t>GF</t>
        </is>
      </c>
      <c r="B12" s="10" t="inlineStr">
        <is>
          <t>GF flat</t>
        </is>
      </c>
      <c r="C12" s="10" t="inlineStr">
        <is>
          <t>A/C / Laundry</t>
        </is>
      </c>
      <c r="D12" s="50" t="n">
        <v>0.9</v>
      </c>
      <c r="E12" s="50" t="n">
        <v>0.95</v>
      </c>
      <c r="F12" s="50" t="n">
        <v>0.9</v>
      </c>
      <c r="G12" s="50">
        <f>F12</f>
        <v/>
      </c>
      <c r="H12" s="50">
        <f>F12+G12</f>
        <v/>
      </c>
      <c r="I12" s="10" t="inlineStr"/>
    </row>
    <row r="13">
      <c r="A13" s="10" t="inlineStr">
        <is>
          <t>GF</t>
        </is>
      </c>
      <c r="B13" s="10" t="inlineStr">
        <is>
          <t>GF flat</t>
        </is>
      </c>
      <c r="C13" s="10" t="inlineStr">
        <is>
          <t>Store (under stair, via W_c)</t>
        </is>
      </c>
      <c r="D13" s="50" t="n">
        <v>2.9</v>
      </c>
      <c r="E13" s="50" t="n">
        <v>3.24</v>
      </c>
      <c r="F13" s="50" t="n">
        <v>2.9</v>
      </c>
      <c r="G13" s="50">
        <f>F13</f>
        <v/>
      </c>
      <c r="H13" s="50">
        <f>F13+G13</f>
        <v/>
      </c>
      <c r="I13" s="10" t="inlineStr">
        <is>
          <t>geometry = full plan area under stair; drawn 2.9 (headroom)</t>
        </is>
      </c>
    </row>
    <row r="14">
      <c r="A14" s="10" t="inlineStr">
        <is>
          <t>GF</t>
        </is>
      </c>
      <c r="B14" s="10" t="inlineStr">
        <is>
          <t>FF flat</t>
        </is>
      </c>
      <c r="C14" s="10" t="inlineStr">
        <is>
          <t>Stairs / entrance lobby (FF flat)</t>
        </is>
      </c>
      <c r="D14" s="50" t="n">
        <v>2.5</v>
      </c>
      <c r="E14" s="50" t="n">
        <v>3.05</v>
      </c>
      <c r="F14" s="50" t="n">
        <v>2.5</v>
      </c>
      <c r="G14" s="50">
        <f>F14</f>
        <v/>
      </c>
      <c r="H14" s="50">
        <f>F14+G14</f>
        <v/>
      </c>
      <c r="I14" s="10" t="inlineStr">
        <is>
          <t>drawn 2.5 (GIFA 2.4); geometry incl. stair foot</t>
        </is>
      </c>
    </row>
    <row r="15">
      <c r="A15" s="10" t="inlineStr">
        <is>
          <t>FF</t>
        </is>
      </c>
      <c r="B15" s="10" t="inlineStr">
        <is>
          <t>FF flat</t>
        </is>
      </c>
      <c r="C15" s="10" t="inlineStr">
        <is>
          <t>Living/Kitchen</t>
        </is>
      </c>
      <c r="D15" s="50" t="n">
        <v>20.6</v>
      </c>
      <c r="E15" s="50" t="n">
        <v>20.57</v>
      </c>
      <c r="F15" s="50" t="n">
        <v>20.6</v>
      </c>
      <c r="G15" s="50">
        <f>F15</f>
        <v/>
      </c>
      <c r="H15" s="50">
        <f>F15+G15</f>
        <v/>
      </c>
      <c r="I15" s="10" t="inlineStr"/>
    </row>
    <row r="16">
      <c r="A16" s="10" t="inlineStr">
        <is>
          <t>FF</t>
        </is>
      </c>
      <c r="B16" s="10" t="inlineStr">
        <is>
          <t>FF flat</t>
        </is>
      </c>
      <c r="C16" s="10" t="inlineStr">
        <is>
          <t>Cupboard (F6/F7, unlabelled)</t>
        </is>
      </c>
      <c r="D16" s="50" t="n"/>
      <c r="E16" s="50" t="n">
        <v>0.72</v>
      </c>
      <c r="F16" s="50" t="n">
        <v>0.72</v>
      </c>
      <c r="G16" s="50">
        <f>F16</f>
        <v/>
      </c>
      <c r="H16" s="50">
        <f>F16+G16</f>
        <v/>
      </c>
      <c r="I16" s="10" t="inlineStr">
        <is>
          <t>not named on drawing</t>
        </is>
      </c>
    </row>
    <row r="17">
      <c r="A17" s="10" t="inlineStr">
        <is>
          <t>FF</t>
        </is>
      </c>
      <c r="B17" s="10" t="inlineStr">
        <is>
          <t>FF flat</t>
        </is>
      </c>
      <c r="C17" s="10" t="inlineStr">
        <is>
          <t>Bathroom</t>
        </is>
      </c>
      <c r="D17" s="50" t="n">
        <v>4.5</v>
      </c>
      <c r="E17" s="50" t="n">
        <v>4.51</v>
      </c>
      <c r="F17" s="50" t="n">
        <v>4.5</v>
      </c>
      <c r="G17" s="50">
        <f>F17</f>
        <v/>
      </c>
      <c r="H17" s="50">
        <f>F17+G17</f>
        <v/>
      </c>
      <c r="I17" s="10" t="inlineStr"/>
    </row>
    <row r="18">
      <c r="A18" s="10" t="inlineStr">
        <is>
          <t>FF</t>
        </is>
      </c>
      <c r="B18" s="10" t="inlineStr">
        <is>
          <t>FF flat</t>
        </is>
      </c>
      <c r="C18" s="10" t="inlineStr">
        <is>
          <t>Hall + landing (incl. stair well)</t>
        </is>
      </c>
      <c r="D18" s="50" t="n">
        <v>10.5</v>
      </c>
      <c r="E18" s="50" t="n">
        <v>6.88</v>
      </c>
      <c r="F18" s="50" t="n">
        <v>10.5</v>
      </c>
      <c r="G18" s="50">
        <f>F18</f>
        <v/>
      </c>
      <c r="H18" s="50">
        <f>F18+G18</f>
        <v/>
      </c>
      <c r="I18" s="10" t="inlineStr">
        <is>
          <t>geometry excl. stair void 1.94; drawn 10.5 incl. void + landing</t>
        </is>
      </c>
    </row>
    <row r="19">
      <c r="A19" s="10" t="inlineStr">
        <is>
          <t>FF</t>
        </is>
      </c>
      <c r="B19" s="10" t="inlineStr">
        <is>
          <t>FF flat</t>
        </is>
      </c>
      <c r="C19" s="10" t="inlineStr">
        <is>
          <t>Bedroom 1</t>
        </is>
      </c>
      <c r="D19" s="50" t="n">
        <v>13.3</v>
      </c>
      <c r="E19" s="50" t="n">
        <v>13.27</v>
      </c>
      <c r="F19" s="50" t="n">
        <v>13.3</v>
      </c>
      <c r="G19" s="50">
        <f>F19</f>
        <v/>
      </c>
      <c r="H19" s="50">
        <f>F19+G19</f>
        <v/>
      </c>
      <c r="I19" s="10" t="inlineStr"/>
    </row>
    <row r="20">
      <c r="A20" s="10" t="inlineStr">
        <is>
          <t>FF</t>
        </is>
      </c>
      <c r="B20" s="10" t="inlineStr">
        <is>
          <t>FF flat</t>
        </is>
      </c>
      <c r="C20" s="10" t="inlineStr">
        <is>
          <t>A/C / Laundry</t>
        </is>
      </c>
      <c r="D20" s="50" t="n">
        <v>0.9</v>
      </c>
      <c r="E20" s="50" t="n">
        <v>0.86</v>
      </c>
      <c r="F20" s="50" t="n">
        <v>0.9</v>
      </c>
      <c r="G20" s="50">
        <f>F20</f>
        <v/>
      </c>
      <c r="H20" s="50">
        <f>F20+G20</f>
        <v/>
      </c>
      <c r="I20" s="10" t="inlineStr"/>
    </row>
    <row r="21">
      <c r="A21" s="10" t="inlineStr">
        <is>
          <t>FF</t>
        </is>
      </c>
      <c r="B21" s="10" t="inlineStr">
        <is>
          <t>FF flat</t>
        </is>
      </c>
      <c r="C21" s="10" t="inlineStr">
        <is>
          <t>Store</t>
        </is>
      </c>
      <c r="D21" s="50" t="n">
        <v>1.1</v>
      </c>
      <c r="E21" s="50" t="n">
        <v>1.05</v>
      </c>
      <c r="F21" s="50" t="n">
        <v>1.1</v>
      </c>
      <c r="G21" s="50">
        <f>F21</f>
        <v/>
      </c>
      <c r="H21" s="50">
        <f>F21+G21</f>
        <v/>
      </c>
      <c r="I21" s="10" t="inlineStr"/>
    </row>
    <row r="22">
      <c r="C22" s="51" t="inlineStr">
        <is>
          <t>GF rooms total</t>
        </is>
      </c>
      <c r="F22" s="52">
        <f>SUMIF(A7:A21,"GF",F7:F21)</f>
        <v/>
      </c>
      <c r="G22" s="52">
        <f>SUMIF(A7:A21,"GF",G7:G21)</f>
        <v/>
      </c>
      <c r="H22" s="52">
        <f>SUMIF(A7:A21,"GF",H7:H21)</f>
        <v/>
      </c>
    </row>
    <row r="23">
      <c r="C23" s="51" t="inlineStr">
        <is>
          <t>FF rooms total</t>
        </is>
      </c>
      <c r="F23" s="52">
        <f>SUMIF(A7:A21,"FF",F7:F21)</f>
        <v/>
      </c>
      <c r="G23" s="52">
        <f>SUMIF(A7:A21,"FF",G7:G21)</f>
        <v/>
      </c>
      <c r="H23" s="52">
        <f>SUMIF(A7:A21,"FF",H7:H21)</f>
        <v/>
      </c>
    </row>
    <row r="24">
      <c r="C24" s="53" t="inlineStr">
        <is>
          <t>Drawing GIFA: GF flat 53.0 m2; FF flat 54.0 m2 + 2.4 m2 at GF = 56.4 m2 (per flat)</t>
        </is>
      </c>
    </row>
  </sheetData>
  <sheetProtection selectLockedCells="0" selectUnlockedCells="0" sheet="1" objects="0" insertRows="1" insertHyperlinks="1" autoFilter="1" scenarios="0" formatColumns="0" deleteColumns="1" insertColumns="1" pivotTables="1" deleteRows="1" formatCells="1" formatRows="0" sort="1"/>
  <mergeCells count="3">
    <mergeCell ref="C1:I1"/>
    <mergeCell ref="A4:I4"/>
    <mergeCell ref="C2:I2"/>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K44"/>
  <sheetViews>
    <sheetView showGridLines="0" workbookViewId="0">
      <pane ySplit="6" topLeftCell="A7" activePane="bottomLeft" state="frozen"/>
      <selection pane="bottomLeft" activeCell="A1" sqref="A1"/>
    </sheetView>
  </sheetViews>
  <sheetFormatPr baseColWidth="8" defaultRowHeight="15"/>
  <cols>
    <col width="13" customWidth="1" min="1" max="1"/>
    <col width="6" customWidth="1" min="2" max="2"/>
    <col width="6" customWidth="1" min="3" max="3"/>
    <col width="22" customWidth="1" min="4" max="4"/>
    <col width="8" customWidth="1" min="5" max="5"/>
    <col width="8" customWidth="1" min="6" max="6"/>
    <col width="8" customWidth="1" min="7" max="7"/>
    <col width="9" customWidth="1" min="8" max="8"/>
    <col width="9" customWidth="1" min="9" max="9"/>
    <col width="18" customWidth="1" min="10" max="10"/>
    <col width="40" customWidth="1" min="11" max="11"/>
  </cols>
  <sheetData>
    <row r="1" ht="22" customHeight="1">
      <c r="C1" s="1" t="inlineStr">
        <is>
          <t>Schedule B - Structural Opening Schedule (both plots)</t>
        </is>
      </c>
    </row>
    <row r="2" ht="18" customHeight="1">
      <c r="C2" s="2" t="inlineStr">
        <is>
          <t>From the quotation model. Sill and head from FFL 0. Not priced.</t>
        </is>
      </c>
    </row>
    <row r="3" ht="4" customHeight="1">
      <c r="A3" s="3" t="n"/>
      <c r="B3" s="3" t="n"/>
      <c r="C3" s="3" t="n"/>
      <c r="D3" s="3" t="n"/>
      <c r="E3" s="3" t="n"/>
      <c r="F3" s="3" t="n"/>
      <c r="G3" s="3" t="n"/>
      <c r="H3" s="3" t="n"/>
      <c r="I3" s="3" t="n"/>
      <c r="J3" s="3" t="n"/>
      <c r="K3" s="3" t="n"/>
    </row>
    <row r="4" ht="48" customHeight="1">
      <c r="A4" s="4" t="inlineStr">
        <is>
          <t>DISCLAIMER: This information is supplied in good faith for guidance and coordination only. It is not part of the Nudura ICF price and must be checked and verified by the appropriate professional (quantity surveyor, designer, engineer or supplier) before use. Only the Nudura ICF formwork and associated accessories are included in our price. Quantities are measured from the quotation model and drawings; no allowance for waste is included unless stated. Plot C/D is the handed mirror of Plot A/B; quantities match except Bill 6. Rates and amounts are by others.</t>
        </is>
      </c>
    </row>
    <row r="6" ht="28" customHeight="1">
      <c r="A6" s="9" t="inlineStr">
        <is>
          <t>Ref</t>
        </is>
      </c>
      <c r="B6" s="9" t="inlineStr">
        <is>
          <t>Plot</t>
        </is>
      </c>
      <c r="C6" s="9" t="inlineStr">
        <is>
          <t>Level</t>
        </is>
      </c>
      <c r="D6" s="9" t="inlineStr">
        <is>
          <t>Elevation</t>
        </is>
      </c>
      <c r="E6" s="9" t="inlineStr">
        <is>
          <t>Type</t>
        </is>
      </c>
      <c r="F6" s="9" t="inlineStr">
        <is>
          <t>W mm</t>
        </is>
      </c>
      <c r="G6" s="9" t="inlineStr">
        <is>
          <t>H mm</t>
        </is>
      </c>
      <c r="H6" s="9" t="inlineStr">
        <is>
          <t>Sill mm</t>
        </is>
      </c>
      <c r="I6" s="9" t="inlineStr">
        <is>
          <t>Head mm</t>
        </is>
      </c>
      <c r="J6" s="9" t="inlineStr">
        <is>
          <t>Wall</t>
        </is>
      </c>
      <c r="K6" s="9" t="inlineStr">
        <is>
          <t>Note</t>
        </is>
      </c>
    </row>
    <row r="7">
      <c r="A7" s="16" t="inlineStr">
        <is>
          <t>AB-L1-F01</t>
        </is>
      </c>
      <c r="B7" s="16" t="inlineStr">
        <is>
          <t>A/B</t>
        </is>
      </c>
      <c r="C7" s="16" t="inlineStr">
        <is>
          <t>GF</t>
        </is>
      </c>
      <c r="D7" s="16" t="inlineStr">
        <is>
          <t>Front</t>
        </is>
      </c>
      <c r="E7" s="16" t="inlineStr">
        <is>
          <t>window</t>
        </is>
      </c>
      <c r="F7" s="16" t="n">
        <v>1570</v>
      </c>
      <c r="G7" s="16" t="n">
        <v>1000</v>
      </c>
      <c r="H7" s="16" t="n">
        <v>1100</v>
      </c>
      <c r="I7" s="16" t="n">
        <v>2100</v>
      </c>
      <c r="J7" s="16" t="inlineStr">
        <is>
          <t>6in XR35 (355.6)</t>
        </is>
      </c>
      <c r="K7" s="16" t="inlineStr">
        <is>
          <t>GF kitchen (WG02)</t>
        </is>
      </c>
    </row>
    <row r="8">
      <c r="A8" s="16" t="inlineStr">
        <is>
          <t>AB-L1-F02</t>
        </is>
      </c>
      <c r="B8" s="16" t="inlineStr">
        <is>
          <t>A/B</t>
        </is>
      </c>
      <c r="C8" s="16" t="inlineStr">
        <is>
          <t>GF</t>
        </is>
      </c>
      <c r="D8" s="16" t="inlineStr">
        <is>
          <t>Front</t>
        </is>
      </c>
      <c r="E8" s="16" t="inlineStr">
        <is>
          <t>window</t>
        </is>
      </c>
      <c r="F8" s="16" t="n">
        <v>740</v>
      </c>
      <c r="G8" s="16" t="n">
        <v>1000</v>
      </c>
      <c r="H8" s="16" t="n">
        <v>1100</v>
      </c>
      <c r="I8" s="16" t="n">
        <v>2100</v>
      </c>
      <c r="J8" s="16" t="inlineStr">
        <is>
          <t>6in XR35 (355.6)</t>
        </is>
      </c>
      <c r="K8" s="16" t="inlineStr">
        <is>
          <t>GF bathroom</t>
        </is>
      </c>
    </row>
    <row r="9">
      <c r="A9" s="16" t="inlineStr">
        <is>
          <t>AB-L1-F03</t>
        </is>
      </c>
      <c r="B9" s="16" t="inlineStr">
        <is>
          <t>A/B</t>
        </is>
      </c>
      <c r="C9" s="16" t="inlineStr">
        <is>
          <t>GF</t>
        </is>
      </c>
      <c r="D9" s="16" t="inlineStr">
        <is>
          <t>Front</t>
        </is>
      </c>
      <c r="E9" s="16" t="inlineStr">
        <is>
          <t>door</t>
        </is>
      </c>
      <c r="F9" s="16" t="n">
        <v>1040</v>
      </c>
      <c r="G9" s="16" t="n">
        <v>2100</v>
      </c>
      <c r="H9" s="16" t="n">
        <v>0</v>
      </c>
      <c r="I9" s="16" t="n">
        <v>2100</v>
      </c>
      <c r="J9" s="16" t="inlineStr">
        <is>
          <t>6in XR35 (355.6)</t>
        </is>
      </c>
      <c r="K9" s="16" t="inlineStr">
        <is>
          <t>GF flat entrance door (XD02)</t>
        </is>
      </c>
    </row>
    <row r="10">
      <c r="A10" s="16" t="inlineStr">
        <is>
          <t>AB-L1-LF04</t>
        </is>
      </c>
      <c r="B10" s="16" t="inlineStr">
        <is>
          <t>A/B</t>
        </is>
      </c>
      <c r="C10" s="16" t="inlineStr">
        <is>
          <t>GF</t>
        </is>
      </c>
      <c r="D10" s="16" t="inlineStr">
        <is>
          <t>Stair-lobby front</t>
        </is>
      </c>
      <c r="E10" s="16" t="inlineStr">
        <is>
          <t>door</t>
        </is>
      </c>
      <c r="F10" s="16" t="n">
        <v>1040</v>
      </c>
      <c r="G10" s="16" t="n">
        <v>2100</v>
      </c>
      <c r="H10" s="16" t="n">
        <v>0</v>
      </c>
      <c r="I10" s="16" t="n">
        <v>2100</v>
      </c>
      <c r="J10" s="16" t="inlineStr">
        <is>
          <t>6in XR35 (355.6)</t>
        </is>
      </c>
      <c r="K10" s="16" t="inlineStr">
        <is>
          <t>FF flat entrance door, stair lobby (WG01)</t>
        </is>
      </c>
    </row>
    <row r="11">
      <c r="A11" s="16" t="inlineStr">
        <is>
          <t>AB-L1-LS05</t>
        </is>
      </c>
      <c r="B11" s="16" t="inlineStr">
        <is>
          <t>A/B</t>
        </is>
      </c>
      <c r="C11" s="16" t="inlineStr">
        <is>
          <t>GF</t>
        </is>
      </c>
      <c r="D11" s="16" t="inlineStr">
        <is>
          <t>Stair-lobby side</t>
        </is>
      </c>
      <c r="E11" s="16" t="inlineStr">
        <is>
          <t>window</t>
        </is>
      </c>
      <c r="F11" s="16" t="n">
        <v>710</v>
      </c>
      <c r="G11" s="16" t="n">
        <v>1300</v>
      </c>
      <c r="H11" s="16" t="n">
        <v>800</v>
      </c>
      <c r="I11" s="16" t="n">
        <v>2100</v>
      </c>
      <c r="J11" s="16" t="inlineStr">
        <is>
          <t>6in XR35 (355.6)</t>
        </is>
      </c>
      <c r="K11" s="16" t="inlineStr">
        <is>
          <t>stair lobby side window (site side elevation: as WG03)</t>
        </is>
      </c>
    </row>
    <row r="12">
      <c r="A12" s="16" t="inlineStr">
        <is>
          <t>AB-L1-WC06</t>
        </is>
      </c>
      <c r="B12" s="16" t="inlineStr">
        <is>
          <t>A/B</t>
        </is>
      </c>
      <c r="C12" s="16" t="inlineStr">
        <is>
          <t>GF</t>
        </is>
      </c>
      <c r="D12" s="16" t="inlineStr">
        <is>
          <t>Internal stair wall W_c</t>
        </is>
      </c>
      <c r="E12" s="16" t="inlineStr">
        <is>
          <t>door</t>
        </is>
      </c>
      <c r="F12" s="16" t="n">
        <v>900</v>
      </c>
      <c r="G12" s="16" t="n">
        <v>2100</v>
      </c>
      <c r="H12" s="16" t="n">
        <v>0</v>
      </c>
      <c r="I12" s="16" t="n">
        <v>2100</v>
      </c>
      <c r="J12" s="16" t="inlineStr">
        <is>
          <t>6in Std (285.75) - stair enclosure</t>
        </is>
      </c>
      <c r="K12" s="16" t="inlineStr">
        <is>
          <t>GF under-stair store door (6in Std stair wall)</t>
        </is>
      </c>
    </row>
    <row r="13">
      <c r="A13" s="16" t="inlineStr">
        <is>
          <t>AB-L1-R07</t>
        </is>
      </c>
      <c r="B13" s="16" t="inlineStr">
        <is>
          <t>A/B</t>
        </is>
      </c>
      <c r="C13" s="16" t="inlineStr">
        <is>
          <t>GF</t>
        </is>
      </c>
      <c r="D13" s="16" t="inlineStr">
        <is>
          <t>Rear</t>
        </is>
      </c>
      <c r="E13" s="16" t="inlineStr">
        <is>
          <t>door</t>
        </is>
      </c>
      <c r="F13" s="16" t="n">
        <v>1040</v>
      </c>
      <c r="G13" s="16" t="n">
        <v>2100</v>
      </c>
      <c r="H13" s="16" t="n">
        <v>0</v>
      </c>
      <c r="I13" s="16" t="n">
        <v>2100</v>
      </c>
      <c r="J13" s="16" t="inlineStr">
        <is>
          <t>6in XR35 (355.6)</t>
        </is>
      </c>
      <c r="K13" s="16" t="inlineStr">
        <is>
          <t>GF rear door, living/kitchen</t>
        </is>
      </c>
    </row>
    <row r="14">
      <c r="A14" s="16" t="inlineStr">
        <is>
          <t>AB-L1-R08</t>
        </is>
      </c>
      <c r="B14" s="16" t="inlineStr">
        <is>
          <t>A/B</t>
        </is>
      </c>
      <c r="C14" s="16" t="inlineStr">
        <is>
          <t>GF</t>
        </is>
      </c>
      <c r="D14" s="16" t="inlineStr">
        <is>
          <t>Rear</t>
        </is>
      </c>
      <c r="E14" s="16" t="inlineStr">
        <is>
          <t>window</t>
        </is>
      </c>
      <c r="F14" s="16" t="n">
        <v>1010</v>
      </c>
      <c r="G14" s="16" t="n">
        <v>1300</v>
      </c>
      <c r="H14" s="16" t="n">
        <v>800</v>
      </c>
      <c r="I14" s="16" t="n">
        <v>2100</v>
      </c>
      <c r="J14" s="16" t="inlineStr">
        <is>
          <t>6in XR35 (355.6)</t>
        </is>
      </c>
      <c r="K14" s="16" t="inlineStr">
        <is>
          <t>GF rear window, hall/bedroom</t>
        </is>
      </c>
    </row>
    <row r="15">
      <c r="A15" s="16" t="inlineStr">
        <is>
          <t>AB-L1-R09</t>
        </is>
      </c>
      <c r="B15" s="16" t="inlineStr">
        <is>
          <t>A/B</t>
        </is>
      </c>
      <c r="C15" s="16" t="inlineStr">
        <is>
          <t>GF</t>
        </is>
      </c>
      <c r="D15" s="16" t="inlineStr">
        <is>
          <t>Rear</t>
        </is>
      </c>
      <c r="E15" s="16" t="inlineStr">
        <is>
          <t>window</t>
        </is>
      </c>
      <c r="F15" s="16" t="n">
        <v>1580</v>
      </c>
      <c r="G15" s="16" t="n">
        <v>1300</v>
      </c>
      <c r="H15" s="16" t="n">
        <v>800</v>
      </c>
      <c r="I15" s="16" t="n">
        <v>2100</v>
      </c>
      <c r="J15" s="16" t="inlineStr">
        <is>
          <t>6in XR35 (355.6)</t>
        </is>
      </c>
      <c r="K15" s="16" t="inlineStr">
        <is>
          <t>GF bedroom window</t>
        </is>
      </c>
    </row>
    <row r="16">
      <c r="A16" s="16" t="inlineStr">
        <is>
          <t>AB-L1-G10</t>
        </is>
      </c>
      <c r="B16" s="16" t="inlineStr">
        <is>
          <t>A/B</t>
        </is>
      </c>
      <c r="C16" s="16" t="inlineStr">
        <is>
          <t>GF</t>
        </is>
      </c>
      <c r="D16" s="16" t="inlineStr">
        <is>
          <t>Gable</t>
        </is>
      </c>
      <c r="E16" s="16" t="inlineStr">
        <is>
          <t>window</t>
        </is>
      </c>
      <c r="F16" s="16" t="n">
        <v>730</v>
      </c>
      <c r="G16" s="16" t="n">
        <v>1300</v>
      </c>
      <c r="H16" s="16" t="n">
        <v>800</v>
      </c>
      <c r="I16" s="16" t="n">
        <v>2100</v>
      </c>
      <c r="J16" s="16" t="inlineStr">
        <is>
          <t>6in XR35 (355.6)</t>
        </is>
      </c>
      <c r="K16" s="16" t="inlineStr">
        <is>
          <t>GF gable window, living (WG03)</t>
        </is>
      </c>
    </row>
    <row r="17">
      <c r="A17" s="16" t="inlineStr">
        <is>
          <t>AB-L2-F11</t>
        </is>
      </c>
      <c r="B17" s="16" t="inlineStr">
        <is>
          <t>A/B</t>
        </is>
      </c>
      <c r="C17" s="16" t="inlineStr">
        <is>
          <t>FF</t>
        </is>
      </c>
      <c r="D17" s="16" t="inlineStr">
        <is>
          <t>Front</t>
        </is>
      </c>
      <c r="E17" s="16" t="inlineStr">
        <is>
          <t>window</t>
        </is>
      </c>
      <c r="F17" s="16" t="n">
        <v>1570</v>
      </c>
      <c r="G17" s="16" t="n">
        <v>1000</v>
      </c>
      <c r="H17" s="16" t="n">
        <v>3950</v>
      </c>
      <c r="I17" s="16" t="n">
        <v>4950</v>
      </c>
      <c r="J17" s="16" t="inlineStr">
        <is>
          <t>6in XR35 (355.6)</t>
        </is>
      </c>
      <c r="K17" s="16" t="inlineStr">
        <is>
          <t>FF kitchen</t>
        </is>
      </c>
    </row>
    <row r="18">
      <c r="A18" s="16" t="inlineStr">
        <is>
          <t>AB-L2-F12</t>
        </is>
      </c>
      <c r="B18" s="16" t="inlineStr">
        <is>
          <t>A/B</t>
        </is>
      </c>
      <c r="C18" s="16" t="inlineStr">
        <is>
          <t>FF</t>
        </is>
      </c>
      <c r="D18" s="16" t="inlineStr">
        <is>
          <t>Front</t>
        </is>
      </c>
      <c r="E18" s="16" t="inlineStr">
        <is>
          <t>window</t>
        </is>
      </c>
      <c r="F18" s="16" t="n">
        <v>740</v>
      </c>
      <c r="G18" s="16" t="n">
        <v>1000</v>
      </c>
      <c r="H18" s="16" t="n">
        <v>3950</v>
      </c>
      <c r="I18" s="16" t="n">
        <v>4950</v>
      </c>
      <c r="J18" s="16" t="inlineStr">
        <is>
          <t>6in XR35 (355.6)</t>
        </is>
      </c>
      <c r="K18" s="16" t="inlineStr">
        <is>
          <t>FF bathroom</t>
        </is>
      </c>
    </row>
    <row r="19">
      <c r="A19" s="16" t="inlineStr">
        <is>
          <t>AB-L2-F13</t>
        </is>
      </c>
      <c r="B19" s="16" t="inlineStr">
        <is>
          <t>A/B</t>
        </is>
      </c>
      <c r="C19" s="16" t="inlineStr">
        <is>
          <t>FF</t>
        </is>
      </c>
      <c r="D19" s="16" t="inlineStr">
        <is>
          <t>Front</t>
        </is>
      </c>
      <c r="E19" s="16" t="inlineStr">
        <is>
          <t>window</t>
        </is>
      </c>
      <c r="F19" s="16" t="n">
        <v>760</v>
      </c>
      <c r="G19" s="16" t="n">
        <v>1000</v>
      </c>
      <c r="H19" s="16" t="n">
        <v>3950</v>
      </c>
      <c r="I19" s="16" t="n">
        <v>4950</v>
      </c>
      <c r="J19" s="16" t="inlineStr">
        <is>
          <t>6in XR35 (355.6)</t>
        </is>
      </c>
      <c r="K19" s="16" t="inlineStr">
        <is>
          <t>FF A/C laundry</t>
        </is>
      </c>
    </row>
    <row r="20">
      <c r="A20" s="16" t="inlineStr">
        <is>
          <t>AB-L2-F14</t>
        </is>
      </c>
      <c r="B20" s="16" t="inlineStr">
        <is>
          <t>A/B</t>
        </is>
      </c>
      <c r="C20" s="16" t="inlineStr">
        <is>
          <t>FF</t>
        </is>
      </c>
      <c r="D20" s="16" t="inlineStr">
        <is>
          <t>Front</t>
        </is>
      </c>
      <c r="E20" s="16" t="inlineStr">
        <is>
          <t>window</t>
        </is>
      </c>
      <c r="F20" s="16" t="n">
        <v>770</v>
      </c>
      <c r="G20" s="16" t="n">
        <v>1000</v>
      </c>
      <c r="H20" s="16" t="n">
        <v>3950</v>
      </c>
      <c r="I20" s="16" t="n">
        <v>4950</v>
      </c>
      <c r="J20" s="16" t="inlineStr">
        <is>
          <t>6in XR35 (355.6)</t>
        </is>
      </c>
      <c r="K20" s="16" t="inlineStr">
        <is>
          <t>FF stair</t>
        </is>
      </c>
    </row>
    <row r="21">
      <c r="A21" s="16" t="inlineStr">
        <is>
          <t>AB-L2-R15</t>
        </is>
      </c>
      <c r="B21" s="16" t="inlineStr">
        <is>
          <t>A/B</t>
        </is>
      </c>
      <c r="C21" s="16" t="inlineStr">
        <is>
          <t>FF</t>
        </is>
      </c>
      <c r="D21" s="16" t="inlineStr">
        <is>
          <t>Rear</t>
        </is>
      </c>
      <c r="E21" s="16" t="inlineStr">
        <is>
          <t>window</t>
        </is>
      </c>
      <c r="F21" s="16" t="n">
        <v>750</v>
      </c>
      <c r="G21" s="16" t="n">
        <v>1300</v>
      </c>
      <c r="H21" s="16" t="n">
        <v>3650</v>
      </c>
      <c r="I21" s="16" t="n">
        <v>4950</v>
      </c>
      <c r="J21" s="16" t="inlineStr">
        <is>
          <t>6in XR35 (355.6)</t>
        </is>
      </c>
      <c r="K21" s="16" t="inlineStr">
        <is>
          <t>FF rear living</t>
        </is>
      </c>
    </row>
    <row r="22">
      <c r="A22" s="16" t="inlineStr">
        <is>
          <t>AB-L2-R16</t>
        </is>
      </c>
      <c r="B22" s="16" t="inlineStr">
        <is>
          <t>A/B</t>
        </is>
      </c>
      <c r="C22" s="16" t="inlineStr">
        <is>
          <t>FF</t>
        </is>
      </c>
      <c r="D22" s="16" t="inlineStr">
        <is>
          <t>Rear</t>
        </is>
      </c>
      <c r="E22" s="16" t="inlineStr">
        <is>
          <t>window</t>
        </is>
      </c>
      <c r="F22" s="16" t="n">
        <v>1010</v>
      </c>
      <c r="G22" s="16" t="n">
        <v>1300</v>
      </c>
      <c r="H22" s="16" t="n">
        <v>3650</v>
      </c>
      <c r="I22" s="16" t="n">
        <v>4950</v>
      </c>
      <c r="J22" s="16" t="inlineStr">
        <is>
          <t>6in XR35 (355.6)</t>
        </is>
      </c>
      <c r="K22" s="16" t="inlineStr">
        <is>
          <t>FF rear hall/bedroom</t>
        </is>
      </c>
    </row>
    <row r="23">
      <c r="A23" s="16" t="inlineStr">
        <is>
          <t>AB-L2-R17</t>
        </is>
      </c>
      <c r="B23" s="16" t="inlineStr">
        <is>
          <t>A/B</t>
        </is>
      </c>
      <c r="C23" s="16" t="inlineStr">
        <is>
          <t>FF</t>
        </is>
      </c>
      <c r="D23" s="16" t="inlineStr">
        <is>
          <t>Rear</t>
        </is>
      </c>
      <c r="E23" s="16" t="inlineStr">
        <is>
          <t>window</t>
        </is>
      </c>
      <c r="F23" s="16" t="n">
        <v>1580</v>
      </c>
      <c r="G23" s="16" t="n">
        <v>1300</v>
      </c>
      <c r="H23" s="16" t="n">
        <v>3650</v>
      </c>
      <c r="I23" s="16" t="n">
        <v>4950</v>
      </c>
      <c r="J23" s="16" t="inlineStr">
        <is>
          <t>6in XR35 (355.6)</t>
        </is>
      </c>
      <c r="K23" s="16" t="inlineStr">
        <is>
          <t>FF bedroom</t>
        </is>
      </c>
    </row>
    <row r="24">
      <c r="A24" s="16" t="inlineStr">
        <is>
          <t>AB-L2-G18</t>
        </is>
      </c>
      <c r="B24" s="16" t="inlineStr">
        <is>
          <t>A/B</t>
        </is>
      </c>
      <c r="C24" s="16" t="inlineStr">
        <is>
          <t>FF</t>
        </is>
      </c>
      <c r="D24" s="16" t="inlineStr">
        <is>
          <t>Gable</t>
        </is>
      </c>
      <c r="E24" s="16" t="inlineStr">
        <is>
          <t>window</t>
        </is>
      </c>
      <c r="F24" s="16" t="n">
        <v>720</v>
      </c>
      <c r="G24" s="16" t="n">
        <v>1300</v>
      </c>
      <c r="H24" s="16" t="n">
        <v>3650</v>
      </c>
      <c r="I24" s="16" t="n">
        <v>4950</v>
      </c>
      <c r="J24" s="16" t="inlineStr">
        <is>
          <t>6in XR35 (355.6)</t>
        </is>
      </c>
      <c r="K24" s="16" t="inlineStr">
        <is>
          <t>FF gable window, living</t>
        </is>
      </c>
    </row>
    <row r="25">
      <c r="A25" s="16" t="inlineStr">
        <is>
          <t>CD-L1-F01</t>
        </is>
      </c>
      <c r="B25" s="16" t="inlineStr">
        <is>
          <t>C/D</t>
        </is>
      </c>
      <c r="C25" s="16" t="inlineStr">
        <is>
          <t>GF</t>
        </is>
      </c>
      <c r="D25" s="16" t="inlineStr">
        <is>
          <t>Front</t>
        </is>
      </c>
      <c r="E25" s="16" t="inlineStr">
        <is>
          <t>window</t>
        </is>
      </c>
      <c r="F25" s="16" t="n">
        <v>1570</v>
      </c>
      <c r="G25" s="16" t="n">
        <v>1000</v>
      </c>
      <c r="H25" s="16" t="n">
        <v>1100</v>
      </c>
      <c r="I25" s="16" t="n">
        <v>2100</v>
      </c>
      <c r="J25" s="16" t="inlineStr">
        <is>
          <t>6in XR35 (355.6)</t>
        </is>
      </c>
      <c r="K25" s="16" t="inlineStr">
        <is>
          <t>GF kitchen (WG02)</t>
        </is>
      </c>
    </row>
    <row r="26">
      <c r="A26" s="16" t="inlineStr">
        <is>
          <t>CD-L1-F02</t>
        </is>
      </c>
      <c r="B26" s="16" t="inlineStr">
        <is>
          <t>C/D</t>
        </is>
      </c>
      <c r="C26" s="16" t="inlineStr">
        <is>
          <t>GF</t>
        </is>
      </c>
      <c r="D26" s="16" t="inlineStr">
        <is>
          <t>Front</t>
        </is>
      </c>
      <c r="E26" s="16" t="inlineStr">
        <is>
          <t>window</t>
        </is>
      </c>
      <c r="F26" s="16" t="n">
        <v>740</v>
      </c>
      <c r="G26" s="16" t="n">
        <v>1000</v>
      </c>
      <c r="H26" s="16" t="n">
        <v>1100</v>
      </c>
      <c r="I26" s="16" t="n">
        <v>2100</v>
      </c>
      <c r="J26" s="16" t="inlineStr">
        <is>
          <t>6in XR35 (355.6)</t>
        </is>
      </c>
      <c r="K26" s="16" t="inlineStr">
        <is>
          <t>GF bathroom</t>
        </is>
      </c>
    </row>
    <row r="27">
      <c r="A27" s="16" t="inlineStr">
        <is>
          <t>CD-L1-F03</t>
        </is>
      </c>
      <c r="B27" s="16" t="inlineStr">
        <is>
          <t>C/D</t>
        </is>
      </c>
      <c r="C27" s="16" t="inlineStr">
        <is>
          <t>GF</t>
        </is>
      </c>
      <c r="D27" s="16" t="inlineStr">
        <is>
          <t>Front</t>
        </is>
      </c>
      <c r="E27" s="16" t="inlineStr">
        <is>
          <t>door</t>
        </is>
      </c>
      <c r="F27" s="16" t="n">
        <v>1040</v>
      </c>
      <c r="G27" s="16" t="n">
        <v>2100</v>
      </c>
      <c r="H27" s="16" t="n">
        <v>0</v>
      </c>
      <c r="I27" s="16" t="n">
        <v>2100</v>
      </c>
      <c r="J27" s="16" t="inlineStr">
        <is>
          <t>6in XR35 (355.6)</t>
        </is>
      </c>
      <c r="K27" s="16" t="inlineStr">
        <is>
          <t>GF flat entrance door (XD02)</t>
        </is>
      </c>
    </row>
    <row r="28">
      <c r="A28" s="16" t="inlineStr">
        <is>
          <t>CD-L1-LF04</t>
        </is>
      </c>
      <c r="B28" s="16" t="inlineStr">
        <is>
          <t>C/D</t>
        </is>
      </c>
      <c r="C28" s="16" t="inlineStr">
        <is>
          <t>GF</t>
        </is>
      </c>
      <c r="D28" s="16" t="inlineStr">
        <is>
          <t>Stair-lobby front</t>
        </is>
      </c>
      <c r="E28" s="16" t="inlineStr">
        <is>
          <t>door</t>
        </is>
      </c>
      <c r="F28" s="16" t="n">
        <v>1040</v>
      </c>
      <c r="G28" s="16" t="n">
        <v>2100</v>
      </c>
      <c r="H28" s="16" t="n">
        <v>0</v>
      </c>
      <c r="I28" s="16" t="n">
        <v>2100</v>
      </c>
      <c r="J28" s="16" t="inlineStr">
        <is>
          <t>6in XR35 (355.6)</t>
        </is>
      </c>
      <c r="K28" s="16" t="inlineStr">
        <is>
          <t>FF flat entrance door, stair lobby (WG01)</t>
        </is>
      </c>
    </row>
    <row r="29">
      <c r="A29" s="16" t="inlineStr">
        <is>
          <t>CD-L1-LS05</t>
        </is>
      </c>
      <c r="B29" s="16" t="inlineStr">
        <is>
          <t>C/D</t>
        </is>
      </c>
      <c r="C29" s="16" t="inlineStr">
        <is>
          <t>GF</t>
        </is>
      </c>
      <c r="D29" s="16" t="inlineStr">
        <is>
          <t>Stair-lobby side</t>
        </is>
      </c>
      <c r="E29" s="16" t="inlineStr">
        <is>
          <t>window</t>
        </is>
      </c>
      <c r="F29" s="16" t="n">
        <v>710</v>
      </c>
      <c r="G29" s="16" t="n">
        <v>1300</v>
      </c>
      <c r="H29" s="16" t="n">
        <v>800</v>
      </c>
      <c r="I29" s="16" t="n">
        <v>2100</v>
      </c>
      <c r="J29" s="16" t="inlineStr">
        <is>
          <t>6in XR35 (355.6)</t>
        </is>
      </c>
      <c r="K29" s="16" t="inlineStr">
        <is>
          <t>stair lobby side window (site side elevation: as WG03)</t>
        </is>
      </c>
    </row>
    <row r="30">
      <c r="A30" s="16" t="inlineStr">
        <is>
          <t>CD-L1-WC06</t>
        </is>
      </c>
      <c r="B30" s="16" t="inlineStr">
        <is>
          <t>C/D</t>
        </is>
      </c>
      <c r="C30" s="16" t="inlineStr">
        <is>
          <t>GF</t>
        </is>
      </c>
      <c r="D30" s="16" t="inlineStr">
        <is>
          <t>Internal stair wall W_c</t>
        </is>
      </c>
      <c r="E30" s="16" t="inlineStr">
        <is>
          <t>door</t>
        </is>
      </c>
      <c r="F30" s="16" t="n">
        <v>900</v>
      </c>
      <c r="G30" s="16" t="n">
        <v>2100</v>
      </c>
      <c r="H30" s="16" t="n">
        <v>0</v>
      </c>
      <c r="I30" s="16" t="n">
        <v>2100</v>
      </c>
      <c r="J30" s="16" t="inlineStr">
        <is>
          <t>6in Std (285.75) - stair enclosure</t>
        </is>
      </c>
      <c r="K30" s="16" t="inlineStr">
        <is>
          <t>GF under-stair store door (6in Std stair wall)</t>
        </is>
      </c>
    </row>
    <row r="31">
      <c r="A31" s="16" t="inlineStr">
        <is>
          <t>CD-L1-R07</t>
        </is>
      </c>
      <c r="B31" s="16" t="inlineStr">
        <is>
          <t>C/D</t>
        </is>
      </c>
      <c r="C31" s="16" t="inlineStr">
        <is>
          <t>GF</t>
        </is>
      </c>
      <c r="D31" s="16" t="inlineStr">
        <is>
          <t>Rear</t>
        </is>
      </c>
      <c r="E31" s="16" t="inlineStr">
        <is>
          <t>door</t>
        </is>
      </c>
      <c r="F31" s="16" t="n">
        <v>1040</v>
      </c>
      <c r="G31" s="16" t="n">
        <v>2100</v>
      </c>
      <c r="H31" s="16" t="n">
        <v>0</v>
      </c>
      <c r="I31" s="16" t="n">
        <v>2100</v>
      </c>
      <c r="J31" s="16" t="inlineStr">
        <is>
          <t>6in XR35 (355.6)</t>
        </is>
      </c>
      <c r="K31" s="16" t="inlineStr">
        <is>
          <t>GF rear door, living/kitchen</t>
        </is>
      </c>
    </row>
    <row r="32">
      <c r="A32" s="16" t="inlineStr">
        <is>
          <t>CD-L1-R08</t>
        </is>
      </c>
      <c r="B32" s="16" t="inlineStr">
        <is>
          <t>C/D</t>
        </is>
      </c>
      <c r="C32" s="16" t="inlineStr">
        <is>
          <t>GF</t>
        </is>
      </c>
      <c r="D32" s="16" t="inlineStr">
        <is>
          <t>Rear</t>
        </is>
      </c>
      <c r="E32" s="16" t="inlineStr">
        <is>
          <t>window</t>
        </is>
      </c>
      <c r="F32" s="16" t="n">
        <v>1010</v>
      </c>
      <c r="G32" s="16" t="n">
        <v>1300</v>
      </c>
      <c r="H32" s="16" t="n">
        <v>800</v>
      </c>
      <c r="I32" s="16" t="n">
        <v>2100</v>
      </c>
      <c r="J32" s="16" t="inlineStr">
        <is>
          <t>6in XR35 (355.6)</t>
        </is>
      </c>
      <c r="K32" s="16" t="inlineStr">
        <is>
          <t>GF rear window, hall/bedroom</t>
        </is>
      </c>
    </row>
    <row r="33">
      <c r="A33" s="16" t="inlineStr">
        <is>
          <t>CD-L1-R09</t>
        </is>
      </c>
      <c r="B33" s="16" t="inlineStr">
        <is>
          <t>C/D</t>
        </is>
      </c>
      <c r="C33" s="16" t="inlineStr">
        <is>
          <t>GF</t>
        </is>
      </c>
      <c r="D33" s="16" t="inlineStr">
        <is>
          <t>Rear</t>
        </is>
      </c>
      <c r="E33" s="16" t="inlineStr">
        <is>
          <t>window</t>
        </is>
      </c>
      <c r="F33" s="16" t="n">
        <v>1580</v>
      </c>
      <c r="G33" s="16" t="n">
        <v>1300</v>
      </c>
      <c r="H33" s="16" t="n">
        <v>800</v>
      </c>
      <c r="I33" s="16" t="n">
        <v>2100</v>
      </c>
      <c r="J33" s="16" t="inlineStr">
        <is>
          <t>6in XR35 (355.6)</t>
        </is>
      </c>
      <c r="K33" s="16" t="inlineStr">
        <is>
          <t>GF bedroom window</t>
        </is>
      </c>
    </row>
    <row r="34">
      <c r="A34" s="16" t="inlineStr">
        <is>
          <t>CD-L1-G10</t>
        </is>
      </c>
      <c r="B34" s="16" t="inlineStr">
        <is>
          <t>C/D</t>
        </is>
      </c>
      <c r="C34" s="16" t="inlineStr">
        <is>
          <t>GF</t>
        </is>
      </c>
      <c r="D34" s="16" t="inlineStr">
        <is>
          <t>Gable</t>
        </is>
      </c>
      <c r="E34" s="16" t="inlineStr">
        <is>
          <t>window</t>
        </is>
      </c>
      <c r="F34" s="16" t="n">
        <v>730</v>
      </c>
      <c r="G34" s="16" t="n">
        <v>1300</v>
      </c>
      <c r="H34" s="16" t="n">
        <v>800</v>
      </c>
      <c r="I34" s="16" t="n">
        <v>2100</v>
      </c>
      <c r="J34" s="16" t="inlineStr">
        <is>
          <t>6in XR35 (355.6)</t>
        </is>
      </c>
      <c r="K34" s="16" t="inlineStr">
        <is>
          <t>GF gable window, living (WG03)</t>
        </is>
      </c>
    </row>
    <row r="35">
      <c r="A35" s="16" t="inlineStr">
        <is>
          <t>CD-L2-F11</t>
        </is>
      </c>
      <c r="B35" s="16" t="inlineStr">
        <is>
          <t>C/D</t>
        </is>
      </c>
      <c r="C35" s="16" t="inlineStr">
        <is>
          <t>FF</t>
        </is>
      </c>
      <c r="D35" s="16" t="inlineStr">
        <is>
          <t>Front</t>
        </is>
      </c>
      <c r="E35" s="16" t="inlineStr">
        <is>
          <t>window</t>
        </is>
      </c>
      <c r="F35" s="16" t="n">
        <v>1570</v>
      </c>
      <c r="G35" s="16" t="n">
        <v>1000</v>
      </c>
      <c r="H35" s="16" t="n">
        <v>3950</v>
      </c>
      <c r="I35" s="16" t="n">
        <v>4950</v>
      </c>
      <c r="J35" s="16" t="inlineStr">
        <is>
          <t>6in XR35 (355.6)</t>
        </is>
      </c>
      <c r="K35" s="16" t="inlineStr">
        <is>
          <t>FF kitchen</t>
        </is>
      </c>
    </row>
    <row r="36">
      <c r="A36" s="16" t="inlineStr">
        <is>
          <t>CD-L2-F12</t>
        </is>
      </c>
      <c r="B36" s="16" t="inlineStr">
        <is>
          <t>C/D</t>
        </is>
      </c>
      <c r="C36" s="16" t="inlineStr">
        <is>
          <t>FF</t>
        </is>
      </c>
      <c r="D36" s="16" t="inlineStr">
        <is>
          <t>Front</t>
        </is>
      </c>
      <c r="E36" s="16" t="inlineStr">
        <is>
          <t>window</t>
        </is>
      </c>
      <c r="F36" s="16" t="n">
        <v>740</v>
      </c>
      <c r="G36" s="16" t="n">
        <v>1000</v>
      </c>
      <c r="H36" s="16" t="n">
        <v>3950</v>
      </c>
      <c r="I36" s="16" t="n">
        <v>4950</v>
      </c>
      <c r="J36" s="16" t="inlineStr">
        <is>
          <t>6in XR35 (355.6)</t>
        </is>
      </c>
      <c r="K36" s="16" t="inlineStr">
        <is>
          <t>FF bathroom</t>
        </is>
      </c>
    </row>
    <row r="37">
      <c r="A37" s="16" t="inlineStr">
        <is>
          <t>CD-L2-F13</t>
        </is>
      </c>
      <c r="B37" s="16" t="inlineStr">
        <is>
          <t>C/D</t>
        </is>
      </c>
      <c r="C37" s="16" t="inlineStr">
        <is>
          <t>FF</t>
        </is>
      </c>
      <c r="D37" s="16" t="inlineStr">
        <is>
          <t>Front</t>
        </is>
      </c>
      <c r="E37" s="16" t="inlineStr">
        <is>
          <t>window</t>
        </is>
      </c>
      <c r="F37" s="16" t="n">
        <v>760</v>
      </c>
      <c r="G37" s="16" t="n">
        <v>1000</v>
      </c>
      <c r="H37" s="16" t="n">
        <v>3950</v>
      </c>
      <c r="I37" s="16" t="n">
        <v>4950</v>
      </c>
      <c r="J37" s="16" t="inlineStr">
        <is>
          <t>6in XR35 (355.6)</t>
        </is>
      </c>
      <c r="K37" s="16" t="inlineStr">
        <is>
          <t>FF A/C laundry</t>
        </is>
      </c>
    </row>
    <row r="38">
      <c r="A38" s="16" t="inlineStr">
        <is>
          <t>CD-L2-F14</t>
        </is>
      </c>
      <c r="B38" s="16" t="inlineStr">
        <is>
          <t>C/D</t>
        </is>
      </c>
      <c r="C38" s="16" t="inlineStr">
        <is>
          <t>FF</t>
        </is>
      </c>
      <c r="D38" s="16" t="inlineStr">
        <is>
          <t>Front</t>
        </is>
      </c>
      <c r="E38" s="16" t="inlineStr">
        <is>
          <t>window</t>
        </is>
      </c>
      <c r="F38" s="16" t="n">
        <v>770</v>
      </c>
      <c r="G38" s="16" t="n">
        <v>1000</v>
      </c>
      <c r="H38" s="16" t="n">
        <v>3950</v>
      </c>
      <c r="I38" s="16" t="n">
        <v>4950</v>
      </c>
      <c r="J38" s="16" t="inlineStr">
        <is>
          <t>6in XR35 (355.6)</t>
        </is>
      </c>
      <c r="K38" s="16" t="inlineStr">
        <is>
          <t>FF stair</t>
        </is>
      </c>
    </row>
    <row r="39">
      <c r="A39" s="16" t="inlineStr">
        <is>
          <t>CD-L2-R15</t>
        </is>
      </c>
      <c r="B39" s="16" t="inlineStr">
        <is>
          <t>C/D</t>
        </is>
      </c>
      <c r="C39" s="16" t="inlineStr">
        <is>
          <t>FF</t>
        </is>
      </c>
      <c r="D39" s="16" t="inlineStr">
        <is>
          <t>Rear</t>
        </is>
      </c>
      <c r="E39" s="16" t="inlineStr">
        <is>
          <t>window</t>
        </is>
      </c>
      <c r="F39" s="16" t="n">
        <v>750</v>
      </c>
      <c r="G39" s="16" t="n">
        <v>1300</v>
      </c>
      <c r="H39" s="16" t="n">
        <v>3650</v>
      </c>
      <c r="I39" s="16" t="n">
        <v>4950</v>
      </c>
      <c r="J39" s="16" t="inlineStr">
        <is>
          <t>6in XR35 (355.6)</t>
        </is>
      </c>
      <c r="K39" s="16" t="inlineStr">
        <is>
          <t>FF rear living</t>
        </is>
      </c>
    </row>
    <row r="40">
      <c r="A40" s="16" t="inlineStr">
        <is>
          <t>CD-L2-R16</t>
        </is>
      </c>
      <c r="B40" s="16" t="inlineStr">
        <is>
          <t>C/D</t>
        </is>
      </c>
      <c r="C40" s="16" t="inlineStr">
        <is>
          <t>FF</t>
        </is>
      </c>
      <c r="D40" s="16" t="inlineStr">
        <is>
          <t>Rear</t>
        </is>
      </c>
      <c r="E40" s="16" t="inlineStr">
        <is>
          <t>window</t>
        </is>
      </c>
      <c r="F40" s="16" t="n">
        <v>1010</v>
      </c>
      <c r="G40" s="16" t="n">
        <v>1300</v>
      </c>
      <c r="H40" s="16" t="n">
        <v>3650</v>
      </c>
      <c r="I40" s="16" t="n">
        <v>4950</v>
      </c>
      <c r="J40" s="16" t="inlineStr">
        <is>
          <t>6in XR35 (355.6)</t>
        </is>
      </c>
      <c r="K40" s="16" t="inlineStr">
        <is>
          <t>FF rear hall/bedroom</t>
        </is>
      </c>
    </row>
    <row r="41">
      <c r="A41" s="16" t="inlineStr">
        <is>
          <t>CD-L2-R17</t>
        </is>
      </c>
      <c r="B41" s="16" t="inlineStr">
        <is>
          <t>C/D</t>
        </is>
      </c>
      <c r="C41" s="16" t="inlineStr">
        <is>
          <t>FF</t>
        </is>
      </c>
      <c r="D41" s="16" t="inlineStr">
        <is>
          <t>Rear</t>
        </is>
      </c>
      <c r="E41" s="16" t="inlineStr">
        <is>
          <t>window</t>
        </is>
      </c>
      <c r="F41" s="16" t="n">
        <v>1580</v>
      </c>
      <c r="G41" s="16" t="n">
        <v>1300</v>
      </c>
      <c r="H41" s="16" t="n">
        <v>3650</v>
      </c>
      <c r="I41" s="16" t="n">
        <v>4950</v>
      </c>
      <c r="J41" s="16" t="inlineStr">
        <is>
          <t>6in XR35 (355.6)</t>
        </is>
      </c>
      <c r="K41" s="16" t="inlineStr">
        <is>
          <t>FF bedroom</t>
        </is>
      </c>
    </row>
    <row r="42">
      <c r="A42" s="16" t="inlineStr">
        <is>
          <t>CD-L2-G18</t>
        </is>
      </c>
      <c r="B42" s="16" t="inlineStr">
        <is>
          <t>C/D</t>
        </is>
      </c>
      <c r="C42" s="16" t="inlineStr">
        <is>
          <t>FF</t>
        </is>
      </c>
      <c r="D42" s="16" t="inlineStr">
        <is>
          <t>Gable</t>
        </is>
      </c>
      <c r="E42" s="16" t="inlineStr">
        <is>
          <t>window</t>
        </is>
      </c>
      <c r="F42" s="16" t="n">
        <v>720</v>
      </c>
      <c r="G42" s="16" t="n">
        <v>1300</v>
      </c>
      <c r="H42" s="16" t="n">
        <v>3650</v>
      </c>
      <c r="I42" s="16" t="n">
        <v>4950</v>
      </c>
      <c r="J42" s="16" t="inlineStr">
        <is>
          <t>6in XR35 (355.6)</t>
        </is>
      </c>
      <c r="K42" s="16" t="inlineStr">
        <is>
          <t>FF gable window, living</t>
        </is>
      </c>
    </row>
    <row r="44">
      <c r="A44" s="51">
        <f>CONCATENATE("Windows: ",COUNTIF(E7:E42,"window"),"   Doors: ",COUNTIF(E7:E42,"door"))</f>
        <v/>
      </c>
    </row>
  </sheetData>
  <sheetProtection selectLockedCells="0" selectUnlockedCells="0" sheet="1" objects="0" insertRows="1" insertHyperlinks="1" autoFilter="1" scenarios="0" formatColumns="0" deleteColumns="1" insertColumns="1" pivotTables="1" deleteRows="1" formatCells="1" formatRows="0" sort="1"/>
  <mergeCells count="3">
    <mergeCell ref="C2:K2"/>
    <mergeCell ref="C1:K1"/>
    <mergeCell ref="A4:K4"/>
  </mergeCells>
  <printOptions horizontalCentered="1"/>
  <pageMargins left="0.75" right="0.75" top="0.7" bottom="0.75" header="0.5" footer="0.5"/>
  <pageSetup orientation="landscape" paperSize="9" fitToHeight="0" fitToWidth="1"/>
  <headerFooter>
    <oddHeader>&amp;L&amp;8 BuildEase  |  ES26-081 Lon Eilian, Caernarfon  |  Beech Developments&amp;R&amp;8 Bill of Quantities Package - Ancillary Trades - Issue 01</oddHeader>
    <oddFooter>&amp;L&amp;7 &amp;KC98A1BSupplied in good faith for guidance only. NOT part of the Nudura ICF price. Check and verify with the appropriate professional before use. No waste unless stated.&amp;R&amp;8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2026-10-19T09:32:01Z</dcterms:created>
  <dcterms:modified xmlns:dcterms="http://purl.org/dc/terms/" xmlns:xsi="http://www.w3.org/2001/XMLSchema-instance" xsi:type="dcterms:W3CDTF">2026-10-19T09:32:02Z</dcterms:modified>
</cp:coreProperties>
</file>