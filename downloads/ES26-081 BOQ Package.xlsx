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General Notes" sheetId="2" state="visible" r:id="rId2"/>
    <sheet xmlns:r="http://schemas.openxmlformats.org/officeDocument/2006/relationships" name="Summary of Bills" sheetId="3" state="visible" r:id="rId3"/>
    <sheet xmlns:r="http://schemas.openxmlformats.org/officeDocument/2006/relationships" name="Bill 1 Concrete Core" sheetId="4" state="visible" r:id="rId4"/>
    <sheet xmlns:r="http://schemas.openxmlformats.org/officeDocument/2006/relationships" name="Bill 2 External Finishes" sheetId="5" state="visible" r:id="rId5"/>
    <sheet xmlns:r="http://schemas.openxmlformats.org/officeDocument/2006/relationships" name="Bill 3 Internal Linings" sheetId="6" state="visible" r:id="rId6"/>
    <sheet xmlns:r="http://schemas.openxmlformats.org/officeDocument/2006/relationships" name="Bill 4 Doors" sheetId="7" state="visible" r:id="rId7"/>
    <sheet xmlns:r="http://schemas.openxmlformats.org/officeDocument/2006/relationships" name="Bill 5 Joinery" sheetId="8" state="visible" r:id="rId8"/>
    <sheet xmlns:r="http://schemas.openxmlformats.org/officeDocument/2006/relationships" name="Bill 6 Partitions" sheetId="9" state="visible" r:id="rId9"/>
    <sheet xmlns:r="http://schemas.openxmlformats.org/officeDocument/2006/relationships" name="Schedule A Floor Areas" sheetId="10" state="visible" r:id="rId10"/>
    <sheet xmlns:r="http://schemas.openxmlformats.org/officeDocument/2006/relationships" name="Schedule B Openings" sheetId="11" state="visible" r:id="rId11"/>
  </sheets>
  <definedNames>
    <definedName name="_xlnm.Print_Area" localSheetId="0">'Cover'!$A$1:$F$66</definedName>
    <definedName name="_xlnm.Print_Titles" localSheetId="2">'Summary of Bills'!$6:$6</definedName>
    <definedName name="_xlnm.Print_Titles" localSheetId="3">'Bill 1 Concrete Core'!$6:$6</definedName>
    <definedName name="_xlnm.Print_Area" localSheetId="3">'Bill 1 Concrete Core'!$A$1:$L$21</definedName>
    <definedName name="_xlnm.Print_Titles" localSheetId="4">'Bill 2 External Finishes'!$6:$6</definedName>
    <definedName name="_xlnm.Print_Area" localSheetId="4">'Bill 2 External Finishes'!$A$1:$L$40</definedName>
    <definedName name="_xlnm.Print_Titles" localSheetId="5">'Bill 3 Internal Linings'!$6:$6</definedName>
    <definedName name="_xlnm.Print_Area" localSheetId="5">'Bill 3 Internal Linings'!$A$1:$L$43</definedName>
    <definedName name="_xlnm.Print_Titles" localSheetId="6">'Bill 4 Doors'!$6:$6</definedName>
    <definedName name="_xlnm.Print_Area" localSheetId="6">'Bill 4 Doors'!$A$1:$L$39</definedName>
    <definedName name="_xlnm.Print_Titles" localSheetId="7">'Bill 5 Joinery'!$6:$6</definedName>
    <definedName name="_xlnm.Print_Area" localSheetId="7">'Bill 5 Joinery'!$A$1:$L$49</definedName>
    <definedName name="_xlnm.Print_Titles" localSheetId="8">'Bill 6 Partitions'!$6:$6</definedName>
    <definedName name="_xlnm.Print_Area" localSheetId="8">'Bill 6 Partitions'!$A$1:$L$52</definedName>
    <definedName name="_xlnm.Print_Titles" localSheetId="9">'Schedule A Floor Areas'!$6:$6</definedName>
    <definedName name="_xlnm.Print_Titles" localSheetId="10">'Schedule B Openings'!$6:$6</definedName>
  </definedNames>
  <calcPr calcId="124519" fullCalcOnLoad="1"/>
</workbook>
</file>

<file path=xl/styles.xml><?xml version="1.0" encoding="utf-8"?>
<styleSheet xmlns="http://schemas.openxmlformats.org/spreadsheetml/2006/main">
  <numFmts count="2">
    <numFmt numFmtId="164" formatCode="&quot;£&quot;#,##0.00"/>
    <numFmt numFmtId="165" formatCode="0.0%"/>
  </numFmts>
  <fonts count="24">
    <font>
      <name val="Calibri"/>
      <family val="2"/>
      <color theme="1"/>
      <sz val="11"/>
      <scheme val="minor"/>
    </font>
    <font>
      <b val="1"/>
      <color rgb="000E3B36"/>
      <sz val="14"/>
    </font>
    <font>
      <color rgb="00555555"/>
      <sz val="9"/>
    </font>
    <font>
      <b val="1"/>
      <color rgb="005A3B00"/>
      <sz val="8.5"/>
    </font>
    <font>
      <b val="1"/>
      <color rgb="00FFFFFF"/>
    </font>
    <font>
      <b val="1"/>
      <color rgb="005A3B00"/>
    </font>
    <font>
      <b val="1"/>
      <color rgb="00FFFFFF"/>
      <sz val="9"/>
    </font>
    <font>
      <b val="1"/>
      <color rgb="000E3B36"/>
    </font>
    <font>
      <i val="1"/>
      <color rgb="00444444"/>
      <sz val="9"/>
    </font>
    <font>
      <color rgb="00444444"/>
      <sz val="8.5"/>
    </font>
    <font/>
    <font>
      <b val="1"/>
    </font>
    <font>
      <b val="1"/>
      <color rgb="00FFFFFF"/>
      <sz val="11"/>
    </font>
    <font>
      <i val="1"/>
      <color rgb="00555555"/>
      <sz val="8.5"/>
    </font>
    <font>
      <i val="1"/>
      <sz val="9.5"/>
    </font>
    <font>
      <i val="1"/>
      <color rgb="00444444"/>
      <sz val="8.5"/>
    </font>
    <font>
      <i val="1"/>
      <color rgb="00888888"/>
      <sz val="8"/>
    </font>
    <font>
      <b val="1"/>
      <sz val="9.5"/>
    </font>
    <font>
      <b val="1"/>
      <color rgb="00444444"/>
      <sz val="8.5"/>
    </font>
    <font>
      <i val="1"/>
      <sz val="9"/>
    </font>
    <font>
      <b val="1"/>
      <color rgb="000E3B36"/>
      <sz val="9"/>
    </font>
    <font>
      <b val="1"/>
      <sz val="11"/>
    </font>
    <font>
      <b val="1"/>
      <color rgb="005A3B00"/>
      <sz val="10"/>
    </font>
    <font>
      <b val="1"/>
      <color rgb="000E3B36"/>
      <sz val="12"/>
    </font>
  </fonts>
  <fills count="8">
    <fill>
      <patternFill/>
    </fill>
    <fill>
      <patternFill patternType="gray125"/>
    </fill>
    <fill>
      <patternFill patternType="solid">
        <fgColor rgb="00FFF4DE"/>
      </patternFill>
    </fill>
    <fill>
      <patternFill patternType="solid">
        <fgColor rgb="001F8A7A"/>
      </patternFill>
    </fill>
    <fill>
      <patternFill patternType="solid">
        <fgColor rgb="000E3B36"/>
      </patternFill>
    </fill>
    <fill>
      <patternFill patternType="solid">
        <fgColor rgb="00E3F2EF"/>
      </patternFill>
    </fill>
    <fill>
      <patternFill patternType="solid">
        <fgColor rgb="00FFF2B3"/>
      </patternFill>
    </fill>
    <fill>
      <patternFill patternType="solid">
        <fgColor rgb="00EEEEEE"/>
      </patternFill>
    </fill>
  </fills>
  <borders count="8">
    <border>
      <left/>
      <right/>
      <top/>
      <bottom/>
      <diagonal/>
    </border>
    <border>
      <left style="thick">
        <color rgb="00C98A1B"/>
      </left>
    </border>
    <border>
      <left style="thin">
        <color rgb="00B7C9C5"/>
      </left>
      <right style="thin">
        <color rgb="00B7C9C5"/>
      </right>
      <top style="thin">
        <color rgb="00B7C9C5"/>
      </top>
      <bottom style="thin">
        <color rgb="00B7C9C5"/>
      </bottom>
    </border>
    <border>
      <left/>
      <right/>
      <top style="thin">
        <color rgb="00B7C9C5"/>
      </top>
      <bottom/>
      <diagonal/>
    </border>
    <border>
      <left/>
      <right style="thin">
        <color rgb="00B7C9C5"/>
      </right>
      <top style="thin">
        <color rgb="00B7C9C5"/>
      </top>
      <bottom/>
      <diagonal/>
    </border>
    <border>
      <left/>
      <right/>
      <top style="thin">
        <color rgb="00B7C9C5"/>
      </top>
      <bottom style="thin">
        <color rgb="00B7C9C5"/>
      </bottom>
      <diagonal/>
    </border>
    <border>
      <left/>
      <right style="thin">
        <color rgb="00B7C9C5"/>
      </right>
      <top style="thin">
        <color rgb="00B7C9C5"/>
      </top>
      <bottom style="thin">
        <color rgb="00B7C9C5"/>
      </bottom>
      <diagonal/>
    </border>
    <border>
      <left style="thick">
        <color rgb="00C98A1B"/>
      </left>
      <right style="thin">
        <color rgb="00B7C9C5"/>
      </right>
      <top style="thin">
        <color rgb="00B7C9C5"/>
      </top>
      <bottom style="thin">
        <color rgb="00B7C9C5"/>
      </bottom>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pivotButton="0" quotePrefix="0" xfId="0"/>
    <xf numFmtId="0" fontId="0" fillId="3" borderId="0" pivotButton="0" quotePrefix="0" xfId="0"/>
    <xf numFmtId="0" fontId="3" fillId="2" borderId="1" applyAlignment="1" pivotButton="0" quotePrefix="0" xfId="0">
      <alignment vertical="top" wrapText="1"/>
    </xf>
    <xf numFmtId="0" fontId="7" fillId="0" borderId="0"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vertical="top" wrapText="1"/>
    </xf>
    <xf numFmtId="0" fontId="12" fillId="4" borderId="0" applyAlignment="1" pivotButton="0" quotePrefix="0" xfId="0">
      <alignment vertical="center"/>
    </xf>
    <xf numFmtId="0" fontId="6" fillId="4" borderId="2" applyAlignment="1" pivotButton="0" quotePrefix="0" xfId="0">
      <alignment horizontal="center" vertical="center" wrapText="1"/>
    </xf>
    <xf numFmtId="0" fontId="0" fillId="0" borderId="2" applyAlignment="1" pivotButton="0" quotePrefix="0" xfId="0">
      <alignment vertical="top" wrapText="1"/>
    </xf>
    <xf numFmtId="164" fontId="10" fillId="0" borderId="2" applyAlignment="1" pivotButton="0" quotePrefix="0" xfId="0">
      <alignment horizontal="right" vertical="top"/>
    </xf>
    <xf numFmtId="0" fontId="4" fillId="3" borderId="0" applyAlignment="1" pivotButton="0" quotePrefix="0" xfId="0">
      <alignment horizontal="right" vertical="center"/>
    </xf>
    <xf numFmtId="164" fontId="11" fillId="5" borderId="2" applyAlignment="1" pivotButton="0" quotePrefix="0" xfId="0">
      <alignment horizontal="right" vertical="top"/>
    </xf>
    <xf numFmtId="0" fontId="7" fillId="0" borderId="0" pivotButton="0" quotePrefix="0" xfId="0"/>
    <xf numFmtId="0" fontId="20" fillId="0" borderId="0" applyAlignment="1" pivotButton="0" quotePrefix="0" xfId="0">
      <alignment horizontal="right"/>
    </xf>
    <xf numFmtId="0" fontId="0" fillId="0" borderId="2" pivotButton="0" quotePrefix="0" xfId="0"/>
    <xf numFmtId="0" fontId="2" fillId="0" borderId="2" pivotButton="0" quotePrefix="0" xfId="0"/>
    <xf numFmtId="165" fontId="0" fillId="6" borderId="2" applyAlignment="1" applyProtection="1" pivotButton="0" quotePrefix="0" xfId="0">
      <alignment horizontal="right" vertical="top"/>
      <protection locked="0" hidden="0"/>
    </xf>
    <xf numFmtId="0" fontId="12" fillId="4" borderId="0" applyAlignment="1" pivotButton="0" quotePrefix="0" xfId="0">
      <alignment horizontal="right" vertical="center"/>
    </xf>
    <xf numFmtId="164" fontId="21" fillId="5" borderId="2" applyAlignment="1" pivotButton="0" quotePrefix="0" xfId="0">
      <alignment horizontal="right" vertical="top"/>
    </xf>
    <xf numFmtId="0" fontId="13" fillId="0" borderId="0" applyAlignment="1" pivotButton="0" quotePrefix="0" xfId="0">
      <alignment vertical="top" wrapText="1"/>
    </xf>
    <xf numFmtId="0" fontId="22" fillId="2" borderId="7" applyAlignment="1" pivotButton="0" quotePrefix="0" xfId="0">
      <alignment vertical="top" wrapText="1"/>
    </xf>
    <xf numFmtId="0" fontId="12" fillId="3" borderId="0" applyAlignment="1" pivotButton="0" quotePrefix="0" xfId="0">
      <alignment vertical="center"/>
    </xf>
    <xf numFmtId="4" fontId="11" fillId="0" borderId="2" applyAlignment="1" pivotButton="0" quotePrefix="0" xfId="0">
      <alignment horizontal="right" vertical="top"/>
    </xf>
    <xf numFmtId="0" fontId="23" fillId="0" borderId="0" pivotButton="0" quotePrefix="0" xfId="0"/>
    <xf numFmtId="0" fontId="0" fillId="0" borderId="5" pivotButton="0" quotePrefix="0" xfId="0"/>
    <xf numFmtId="0" fontId="0" fillId="0" borderId="6" pivotButton="0" quotePrefix="0" xfId="0"/>
    <xf numFmtId="0" fontId="4" fillId="3" borderId="0" pivotButton="0" quotePrefix="0" xfId="0"/>
    <xf numFmtId="0" fontId="5" fillId="2" borderId="0" applyAlignment="1" pivotButton="0" quotePrefix="0" xfId="0">
      <alignment vertical="top" wrapText="1"/>
    </xf>
    <xf numFmtId="0" fontId="7" fillId="5" borderId="0" pivotButton="0" quotePrefix="0" xfId="0"/>
    <xf numFmtId="0" fontId="4" fillId="4" borderId="0" pivotButton="0" quotePrefix="0" xfId="0"/>
    <xf numFmtId="0" fontId="19" fillId="0" borderId="0" applyAlignment="1" pivotButton="0" quotePrefix="0" xfId="0">
      <alignment vertical="top" wrapText="1"/>
    </xf>
    <xf numFmtId="0" fontId="2" fillId="0" borderId="0" applyAlignment="1" pivotButton="0" quotePrefix="0" xfId="0">
      <alignment vertical="top" wrapText="1"/>
    </xf>
    <xf numFmtId="0" fontId="8" fillId="0" borderId="0" applyAlignment="1" pivotButton="0" quotePrefix="0" xfId="0">
      <alignment vertical="top" wrapText="1"/>
    </xf>
    <xf numFmtId="4" fontId="0" fillId="0" borderId="2" applyAlignment="1" pivotButton="0" quotePrefix="0" xfId="0">
      <alignment horizontal="right" vertical="top"/>
    </xf>
    <xf numFmtId="164" fontId="0" fillId="6" borderId="2" applyAlignment="1" applyProtection="1" pivotButton="0" quotePrefix="0" xfId="0">
      <alignment horizontal="right" vertical="top"/>
      <protection locked="0" hidden="0"/>
    </xf>
    <xf numFmtId="164" fontId="11" fillId="0" borderId="2" applyAlignment="1" pivotButton="0" quotePrefix="0" xfId="0">
      <alignment horizontal="right" vertical="top"/>
    </xf>
    <xf numFmtId="0" fontId="9" fillId="0" borderId="2" applyAlignment="1" pivotButton="0" quotePrefix="0" xfId="0">
      <alignment vertical="top" wrapText="1"/>
    </xf>
    <xf numFmtId="0" fontId="7" fillId="0" borderId="2" pivotButton="0" quotePrefix="0" xfId="0"/>
    <xf numFmtId="0" fontId="4" fillId="4" borderId="0" applyAlignment="1" pivotButton="0" quotePrefix="0" xfId="0">
      <alignment horizontal="right" vertical="center"/>
    </xf>
    <xf numFmtId="0" fontId="14" fillId="0" borderId="2" applyAlignment="1" pivotButton="0" quotePrefix="0" xfId="0">
      <alignment vertical="top" wrapText="1"/>
    </xf>
    <xf numFmtId="4" fontId="14" fillId="0" borderId="2" applyAlignment="1" pivotButton="0" quotePrefix="0" xfId="0">
      <alignment horizontal="right" vertical="top"/>
    </xf>
    <xf numFmtId="0" fontId="14" fillId="7" borderId="2" pivotButton="0" quotePrefix="0" xfId="0"/>
    <xf numFmtId="0" fontId="16" fillId="7" borderId="2" applyAlignment="1" pivotButton="0" quotePrefix="0" xfId="0">
      <alignment horizontal="center" vertical="top"/>
    </xf>
    <xf numFmtId="0" fontId="15" fillId="0" borderId="2" applyAlignment="1" pivotButton="0" quotePrefix="0" xfId="0">
      <alignment vertical="top" wrapText="1"/>
    </xf>
    <xf numFmtId="0" fontId="17" fillId="0" borderId="2" applyAlignment="1" pivotButton="0" quotePrefix="0" xfId="0">
      <alignment vertical="top" wrapText="1"/>
    </xf>
    <xf numFmtId="4" fontId="17" fillId="0" borderId="2" applyAlignment="1" pivotButton="0" quotePrefix="0" xfId="0">
      <alignment horizontal="right" vertical="top"/>
    </xf>
    <xf numFmtId="0" fontId="17" fillId="7" borderId="2" pivotButton="0" quotePrefix="0" xfId="0"/>
    <xf numFmtId="0" fontId="18" fillId="0" borderId="2" applyAlignment="1" pivotButton="0" quotePrefix="0" xfId="0">
      <alignment vertical="top" wrapText="1"/>
    </xf>
    <xf numFmtId="4" fontId="0" fillId="0" borderId="2" applyAlignment="1" pivotButton="0" quotePrefix="0" xfId="0">
      <alignment vertical="top" wrapText="1"/>
    </xf>
    <xf numFmtId="0" fontId="11" fillId="0" borderId="0" pivotButton="0" quotePrefix="0" xfId="0"/>
    <xf numFmtId="4" fontId="11" fillId="0" borderId="0" pivotButton="0" quotePrefix="0" xfId="0"/>
    <xf numFmtId="0" fontId="1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drawing1.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sheet1.xml><?xml version="1.0" encoding="utf-8"?>
<worksheet xmlns="http://schemas.openxmlformats.org/spreadsheetml/2006/main">
  <sheetPr>
    <outlinePr summaryBelow="1" summaryRight="1"/>
    <pageSetUpPr fitToPage="1"/>
  </sheetPr>
  <dimension ref="A1:F66"/>
  <sheetViews>
    <sheetView showGridLines="0" workbookViewId="0">
      <selection activeCell="A1" sqref="A1"/>
    </sheetView>
  </sheetViews>
  <sheetFormatPr baseColWidth="8" defaultRowHeight="15"/>
  <cols>
    <col width="22" customWidth="1" min="1" max="1"/>
    <col width="50" customWidth="1" min="2" max="2"/>
    <col width="18" customWidth="1" min="3" max="3"/>
    <col width="17" customWidth="1" min="4" max="4"/>
    <col width="17" customWidth="1" min="5" max="5"/>
    <col width="18" customWidth="1" min="6" max="6"/>
  </cols>
  <sheetData>
    <row r="1" ht="22" customHeight="1">
      <c r="C1" s="1" t="inlineStr">
        <is>
          <t>Bill of Quantities Package - Ancillary Trades</t>
        </is>
      </c>
    </row>
    <row r="2" ht="18" customHeight="1">
      <c r="C2" s="2" t="inlineStr">
        <is>
          <t>ES26-081  |  Lon Eilian, Caernarfon  |  Beech Developments</t>
        </is>
      </c>
    </row>
    <row r="3" ht="4" customHeight="1">
      <c r="A3" s="3" t="n"/>
      <c r="B3" s="3" t="n"/>
      <c r="C3" s="3" t="n"/>
      <c r="D3" s="3" t="n"/>
      <c r="E3" s="3" t="n"/>
      <c r="F3" s="3" t="n"/>
    </row>
    <row r="4" ht="62" customHeight="1">
      <c r="A4" s="4"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quotation model and drawings; no allowance for waste is included unless stated. Plot C/D is the handed mirror of Plot A/B; quantities match except Bill 6. Rates and amounts are by others.</t>
        </is>
      </c>
    </row>
    <row r="6" ht="16" customHeight="1">
      <c r="A6" s="5" t="inlineStr">
        <is>
          <t>Project</t>
        </is>
      </c>
      <c r="B6" s="6" t="inlineStr">
        <is>
          <t>Lon Eilian, Caernarfon</t>
        </is>
      </c>
    </row>
    <row r="7" ht="16" customHeight="1">
      <c r="A7" s="5" t="inlineStr">
        <is>
          <t>Site</t>
        </is>
      </c>
      <c r="B7" s="6" t="inlineStr">
        <is>
          <t>Lon Eilian, Caernarfon, Gwynedd</t>
        </is>
      </c>
    </row>
    <row r="8" ht="16" customHeight="1">
      <c r="A8" s="5" t="inlineStr">
        <is>
          <t>Client</t>
        </is>
      </c>
      <c r="B8" s="6" t="inlineStr">
        <is>
          <t>Beech Developments</t>
        </is>
      </c>
    </row>
    <row r="9" ht="16" customHeight="1">
      <c r="A9" s="5" t="inlineStr">
        <is>
          <t>Quotation ref</t>
        </is>
      </c>
      <c r="B9" s="6" t="inlineStr">
        <is>
          <t>ES26-081</t>
        </is>
      </c>
    </row>
    <row r="10" ht="16" customHeight="1">
      <c r="A10" s="5" t="inlineStr">
        <is>
          <t>Document</t>
        </is>
      </c>
      <c r="B10" s="6" t="inlineStr">
        <is>
          <t>Bill of Quantities Package - Ancillary Trades</t>
        </is>
      </c>
    </row>
    <row r="11" ht="16" customHeight="1">
      <c r="A11" s="5" t="inlineStr">
        <is>
          <t>Issue</t>
        </is>
      </c>
      <c r="B11" s="6" t="inlineStr">
        <is>
          <t>01  (19/10/2026)</t>
        </is>
      </c>
    </row>
    <row r="12" ht="30" customHeight="1">
      <c r="A12" s="5" t="inlineStr">
        <is>
          <t>Scope</t>
        </is>
      </c>
      <c r="B12" s="6" t="inlineStr">
        <is>
          <t>4 x 2B1P flats - one pair of semi-detached buildings: Plot A/B and Plot C/D (each = GF flat + FF flat)</t>
        </is>
      </c>
    </row>
    <row r="13" ht="16" customHeight="1">
      <c r="A13" s="5" t="inlineStr">
        <is>
          <t>Prepared by</t>
        </is>
      </c>
      <c r="B13" s="6" t="inlineStr">
        <is>
          <t>BuildEase (Tremco CPG UK) - BuildEase Design Suite quotation model</t>
        </is>
      </c>
    </row>
    <row r="14" ht="30" customHeight="1">
      <c r="A14" s="5" t="inlineStr">
        <is>
          <t>Status</t>
        </is>
      </c>
      <c r="B14" s="7" t="inlineStr">
        <is>
          <t>FOR INFORMATION, COORDINATION AND PRICING BY OTHERS - rates blank; NOT part of the Nudura ICF price</t>
        </is>
      </c>
    </row>
    <row r="16" ht="20" customHeight="1">
      <c r="A16" s="8" t="inlineStr">
        <is>
          <t>PACKAGE OVERVIEW  -  pricing by others (all amounts formula-linked to each bill's Package Summary)</t>
        </is>
      </c>
    </row>
    <row r="17" ht="28" customHeight="1">
      <c r="A17" s="9" t="inlineStr">
        <is>
          <t>Bill</t>
        </is>
      </c>
      <c r="B17" s="9" t="inlineStr">
        <is>
          <t>Package</t>
        </is>
      </c>
      <c r="C17" s="9" t="inlineStr">
        <is>
          <t>Code / NRM2</t>
        </is>
      </c>
      <c r="D17" s="9" t="inlineStr">
        <is>
          <t>Supply £</t>
        </is>
      </c>
      <c r="E17" s="9" t="inlineStr">
        <is>
          <t>Install £</t>
        </is>
      </c>
      <c r="F17" s="9" t="inlineStr">
        <is>
          <t>Total £</t>
        </is>
      </c>
    </row>
    <row r="18" ht="18" customHeight="1">
      <c r="A18" s="10" t="inlineStr">
        <is>
          <t>Bill 1</t>
        </is>
      </c>
      <c r="B18" s="10" t="inlineStr">
        <is>
          <t>Substructure &amp; Frame - ICF Concrete Core</t>
        </is>
      </c>
      <c r="C18" s="10" t="inlineStr">
        <is>
          <t>FRM  NRM2 11</t>
        </is>
      </c>
      <c r="D18" s="11">
        <f>'Bill 1 Concrete Core'!I20</f>
        <v/>
      </c>
      <c r="E18" s="11">
        <f>'Bill 1 Concrete Core'!J20</f>
        <v/>
      </c>
      <c r="F18" s="11">
        <f>'Bill 1 Concrete Core'!K20</f>
        <v/>
      </c>
    </row>
    <row r="19" ht="30" customHeight="1">
      <c r="A19" s="10" t="inlineStr">
        <is>
          <t>Bill 2</t>
        </is>
      </c>
      <c r="B19" s="10" t="inlineStr">
        <is>
          <t>External Wall Finishes - Render, Brick Slips &amp; Beads</t>
        </is>
      </c>
      <c r="C19" s="10" t="inlineStr">
        <is>
          <t>CLD  NRM2 21, 28</t>
        </is>
      </c>
      <c r="D19" s="11">
        <f>'Bill 2 External Finishes'!I39</f>
        <v/>
      </c>
      <c r="E19" s="11">
        <f>'Bill 2 External Finishes'!J39</f>
        <v/>
      </c>
      <c r="F19" s="11">
        <f>'Bill 2 External Finishes'!K39</f>
        <v/>
      </c>
    </row>
    <row r="20" ht="30" customHeight="1">
      <c r="A20" s="10" t="inlineStr">
        <is>
          <t>Bill 3</t>
        </is>
      </c>
      <c r="B20" s="10" t="inlineStr">
        <is>
          <t>Internal Linings - Plasterboard, Tape, Beads &amp; Skim</t>
        </is>
      </c>
      <c r="C20" s="10" t="inlineStr">
        <is>
          <t>DRY  NRM2 28</t>
        </is>
      </c>
      <c r="D20" s="11">
        <f>'Bill 3 Internal Linings'!I42</f>
        <v/>
      </c>
      <c r="E20" s="11">
        <f>'Bill 3 Internal Linings'!J42</f>
        <v/>
      </c>
      <c r="F20" s="11">
        <f>'Bill 3 Internal Linings'!K42</f>
        <v/>
      </c>
    </row>
    <row r="21" ht="18" customHeight="1">
      <c r="A21" s="10" t="inlineStr">
        <is>
          <t>Bill 4</t>
        </is>
      </c>
      <c r="B21" s="10" t="inlineStr">
        <is>
          <t>Internal Doors &amp; Ironmongery</t>
        </is>
      </c>
      <c r="C21" s="10" t="inlineStr">
        <is>
          <t>JOI  NRM2 24</t>
        </is>
      </c>
      <c r="D21" s="11">
        <f>'Bill 4 Doors'!I38</f>
        <v/>
      </c>
      <c r="E21" s="11">
        <f>'Bill 4 Doors'!J38</f>
        <v/>
      </c>
      <c r="F21" s="11">
        <f>'Bill 4 Doors'!K38</f>
        <v/>
      </c>
    </row>
    <row r="22" ht="18" customHeight="1">
      <c r="A22" s="10" t="inlineStr">
        <is>
          <t>Bill 5</t>
        </is>
      </c>
      <c r="B22" s="10" t="inlineStr">
        <is>
          <t>Joinery - Skirtings, Architraves &amp; Window Boards</t>
        </is>
      </c>
      <c r="C22" s="10" t="inlineStr">
        <is>
          <t>JOI  NRM2 22</t>
        </is>
      </c>
      <c r="D22" s="11">
        <f>'Bill 5 Joinery'!I48</f>
        <v/>
      </c>
      <c r="E22" s="11">
        <f>'Bill 5 Joinery'!J48</f>
        <v/>
      </c>
      <c r="F22" s="11">
        <f>'Bill 5 Joinery'!K48</f>
        <v/>
      </c>
    </row>
    <row r="23" ht="30" customHeight="1">
      <c r="A23" s="10" t="inlineStr">
        <is>
          <t>Bill 6</t>
        </is>
      </c>
      <c r="B23" s="10" t="inlineStr">
        <is>
          <t>Timber Stud Partitions - Framing, Openings, Pattresses &amp; Fixings</t>
        </is>
      </c>
      <c r="C23" s="10" t="inlineStr">
        <is>
          <t>JOI  NRM2 16</t>
        </is>
      </c>
      <c r="D23" s="11">
        <f>'Bill 6 Partitions'!I51</f>
        <v/>
      </c>
      <c r="E23" s="11">
        <f>'Bill 6 Partitions'!J51</f>
        <v/>
      </c>
      <c r="F23" s="11">
        <f>'Bill 6 Partitions'!K51</f>
        <v/>
      </c>
    </row>
    <row r="24" ht="20" customHeight="1">
      <c r="A24" s="12" t="inlineStr">
        <is>
          <t>GRAND TOTAL - ancillary trades, net (excl. VAT)</t>
        </is>
      </c>
      <c r="D24" s="13">
        <f>SUM(D18:D23)</f>
        <v/>
      </c>
      <c r="E24" s="13">
        <f>SUM(E18:E23)</f>
        <v/>
      </c>
      <c r="F24" s="13">
        <f>SUM(F18:F23)</f>
        <v/>
      </c>
    </row>
    <row r="26">
      <c r="A26" s="14" t="inlineStr">
        <is>
          <t>Optional additions (enter %; blank = 0)</t>
        </is>
      </c>
      <c r="C26" s="15" t="inlineStr">
        <is>
          <t>%</t>
        </is>
      </c>
      <c r="F26" s="15" t="inlineStr">
        <is>
          <t>Amount £</t>
        </is>
      </c>
    </row>
    <row r="27">
      <c r="A27" s="16" t="inlineStr">
        <is>
          <t>Preliminaries</t>
        </is>
      </c>
      <c r="B27" s="17" t="inlineStr">
        <is>
          <t>on the net grand total</t>
        </is>
      </c>
      <c r="C27" s="18" t="n"/>
      <c r="F27" s="11">
        <f>(F24)*N(C27)</f>
        <v/>
      </c>
    </row>
    <row r="28">
      <c r="A28" s="16" t="inlineStr">
        <is>
          <t>Overheads &amp; profit</t>
        </is>
      </c>
      <c r="B28" s="17" t="inlineStr">
        <is>
          <t>on net total + preliminaries</t>
        </is>
      </c>
      <c r="C28" s="18" t="n"/>
      <c r="F28" s="11">
        <f>(F24+F27)*N(C28)</f>
        <v/>
      </c>
    </row>
    <row r="29">
      <c r="A29" s="16" t="inlineStr">
        <is>
          <t>Contingency</t>
        </is>
      </c>
      <c r="B29" s="17" t="inlineStr">
        <is>
          <t>on net total + preliminaries + OH&amp;P</t>
        </is>
      </c>
      <c r="C29" s="18" t="n"/>
      <c r="F29" s="11">
        <f>(F24+F27+F28)*N(C29)</f>
        <v/>
      </c>
    </row>
    <row r="30" ht="22" customHeight="1">
      <c r="A30" s="19" t="inlineStr">
        <is>
          <t>GRAND TOTAL including preliminaries, OH&amp;P and contingency (excl. VAT)</t>
        </is>
      </c>
      <c r="F30" s="20">
        <f>F24+F27+F28+F29</f>
        <v/>
      </c>
    </row>
    <row r="31" ht="24" customHeight="1">
      <c r="A31" s="21" t="inlineStr">
        <is>
          <t>Pale-yellow cells are the only inputs (rates on each bill sheet, percentages here). Everything else is a locked formula (protection has no password). Schedules A and B are reference only and are not priced.</t>
        </is>
      </c>
    </row>
    <row r="33" ht="80" customHeight="1">
      <c r="A33" s="22" t="inlineStr">
        <is>
          <t>IMPORTANT -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quotation model and drawings; no allowance for waste is included unless stated. Plot C/D is the handed mirror of Plot A/B; quantities match except Bill 6. Rates and amounts are by others.</t>
        </is>
      </c>
    </row>
    <row r="35" ht="20" customHeight="1">
      <c r="A35" s="23" t="inlineStr">
        <is>
          <t>KEY QUANTITIES  (both plots, net; linked to the bills)</t>
        </is>
      </c>
    </row>
    <row r="36">
      <c r="A36" s="16" t="inlineStr">
        <is>
          <t>Concrete core (whole building)</t>
        </is>
      </c>
      <c r="D36" s="24">
        <f>'Bill 1 Concrete Core'!F9+'Bill 1 Concrete Core'!F10+'Bill 1 Concrete Core'!F11</f>
        <v/>
      </c>
      <c r="E36" s="16" t="inlineStr">
        <is>
          <t>m3</t>
        </is>
      </c>
    </row>
    <row r="37">
      <c r="A37" s="16" t="inlineStr">
        <is>
          <t>Render, Dryvit (walls, excl. reveals)</t>
        </is>
      </c>
      <c r="D37" s="24">
        <f>'Bill 2 External Finishes'!F9+'Bill 2 External Finishes'!F10+'Bill 2 External Finishes'!F11</f>
        <v/>
      </c>
      <c r="E37" s="16" t="inlineStr">
        <is>
          <t>m2</t>
        </is>
      </c>
    </row>
    <row r="38">
      <c r="A38" s="16" t="inlineStr">
        <is>
          <t>Brick slips, Monolith (walls, excl. reveals)</t>
        </is>
      </c>
      <c r="D38" s="24">
        <f>'Bill 2 External Finishes'!F15+'Bill 2 External Finishes'!F16+'Bill 2 External Finishes'!F17+'Bill 2 External Finishes'!F18</f>
        <v/>
      </c>
      <c r="E38" s="16" t="inlineStr">
        <is>
          <t>m2</t>
        </is>
      </c>
    </row>
    <row r="39">
      <c r="A39" s="16" t="inlineStr">
        <is>
          <t>Plasterboard, walls and reveals (net)</t>
        </is>
      </c>
      <c r="D39" s="24">
        <f>'Bill 3 Internal Linings'!F9+'Bill 3 Internal Linings'!F10+'Bill 3 Internal Linings'!F11+'Bill 3 Internal Linings'!F12+'Bill 3 Internal Linings'!F13+'Bill 3 Internal Linings'!F14+'Bill 3 Internal Linings'!F15+'Bill 3 Internal Linings'!F16+'Bill 3 Internal Linings'!F17+'Bill 3 Internal Linings'!F18+'Bill 3 Internal Linings'!F19+'Bill 3 Internal Linings'!F20</f>
        <v/>
      </c>
      <c r="E39" s="16" t="inlineStr">
        <is>
          <t>m2</t>
        </is>
      </c>
    </row>
    <row r="40">
      <c r="A40" s="16" t="inlineStr">
        <is>
          <t>Plasterboard, ceilings (net area)</t>
        </is>
      </c>
      <c r="D40" s="24">
        <f>'Bill 3 Internal Linings'!F23+'Bill 3 Internal Linings'!F24+'Bill 3 Internal Linings'!F25+'Bill 3 Internal Linings'!F26</f>
        <v/>
      </c>
      <c r="E40" s="16" t="inlineStr">
        <is>
          <t>m2</t>
        </is>
      </c>
    </row>
    <row r="41">
      <c r="A41" s="16" t="inlineStr">
        <is>
          <t>Skim coat</t>
        </is>
      </c>
      <c r="D41" s="24">
        <f>'Bill 3 Internal Linings'!F33</f>
        <v/>
      </c>
      <c r="E41" s="16" t="inlineStr">
        <is>
          <t>m2</t>
        </is>
      </c>
    </row>
    <row r="42">
      <c r="A42" s="16" t="inlineStr">
        <is>
          <t>Internal doorsets</t>
        </is>
      </c>
      <c r="D42" s="24">
        <f>'Bill 4 Doors'!F9+'Bill 4 Doors'!F10+'Bill 4 Doors'!F11+'Bill 4 Doors'!F12+'Bill 4 Doors'!F13+'Bill 4 Doors'!F14+'Bill 4 Doors'!F15+'Bill 4 Doors'!F16+'Bill 4 Doors'!F17+'Bill 4 Doors'!F18+'Bill 4 Doors'!F19+'Bill 4 Doors'!F20</f>
        <v/>
      </c>
      <c r="E42" s="16" t="inlineStr">
        <is>
          <t>nr</t>
        </is>
      </c>
    </row>
    <row r="43">
      <c r="A43" s="16" t="inlineStr">
        <is>
          <t>Skirting</t>
        </is>
      </c>
      <c r="D43" s="24">
        <f>'Bill 5 Joinery'!F24</f>
        <v/>
      </c>
      <c r="E43" s="16" t="inlineStr">
        <is>
          <t>m</t>
        </is>
      </c>
    </row>
    <row r="44">
      <c r="A44" s="16" t="inlineStr">
        <is>
          <t>Architrave</t>
        </is>
      </c>
      <c r="D44" s="24">
        <f>'Bill 5 Joinery'!F27+'Bill 5 Joinery'!F28</f>
        <v/>
      </c>
      <c r="E44" s="16" t="inlineStr">
        <is>
          <t>m</t>
        </is>
      </c>
    </row>
    <row r="45">
      <c r="A45" s="16" t="inlineStr">
        <is>
          <t>Window boards</t>
        </is>
      </c>
      <c r="D45" s="24">
        <f>'Bill 5 Joinery'!F31+'Bill 5 Joinery'!F32+'Bill 5 Joinery'!F33+'Bill 5 Joinery'!F34+'Bill 5 Joinery'!F35+'Bill 5 Joinery'!F36+'Bill 5 Joinery'!F37+'Bill 5 Joinery'!F38+'Bill 5 Joinery'!F39+'Bill 5 Joinery'!F40</f>
        <v/>
      </c>
      <c r="E45" s="16" t="inlineStr">
        <is>
          <t>nr</t>
        </is>
      </c>
    </row>
    <row r="46">
      <c r="A46" s="16" t="inlineStr">
        <is>
          <t>Window boards, total length</t>
        </is>
      </c>
      <c r="D46" s="24">
        <f>'Bill 5 Joinery'!F41</f>
        <v/>
      </c>
      <c r="E46" s="16" t="inlineStr">
        <is>
          <t>m</t>
        </is>
      </c>
    </row>
    <row r="47">
      <c r="A47" s="16" t="inlineStr">
        <is>
          <t>Timber stud partitions and boxing (gross area)</t>
        </is>
      </c>
      <c r="D47" s="24">
        <f>'Bill 6 Partitions'!F9+'Bill 6 Partitions'!F10+'Bill 6 Partitions'!F11+'Bill 6 Partitions'!F12+'Bill 6 Partitions'!F13+'Bill 6 Partitions'!F14</f>
        <v/>
      </c>
      <c r="E47" s="16" t="inlineStr">
        <is>
          <t>m2</t>
        </is>
      </c>
    </row>
    <row r="48">
      <c r="A48" s="16" t="inlineStr">
        <is>
          <t>Partition timber, C16 (all sections)</t>
        </is>
      </c>
      <c r="D48" s="24">
        <f>'Bill 6 Partitions'!F17+'Bill 6 Partitions'!F18+'Bill 6 Partitions'!F19+'Bill 6 Partitions'!F20+'Bill 6 Partitions'!F21+'Bill 6 Partitions'!F22</f>
        <v/>
      </c>
      <c r="E48" s="16" t="inlineStr">
        <is>
          <t>m</t>
        </is>
      </c>
    </row>
    <row r="49">
      <c r="A49" s="16" t="inlineStr">
        <is>
          <t>Door openings formed in partitions</t>
        </is>
      </c>
      <c r="D49" s="24">
        <f>'Bill 6 Partitions'!F27+'Bill 6 Partitions'!F28+'Bill 6 Partitions'!F29+'Bill 6 Partitions'!F30</f>
        <v/>
      </c>
      <c r="E49" s="16" t="inlineStr">
        <is>
          <t>nr</t>
        </is>
      </c>
    </row>
    <row r="51">
      <c r="A51" s="25" t="inlineStr">
        <is>
          <t>Document control</t>
        </is>
      </c>
    </row>
    <row r="52" ht="28" customHeight="1">
      <c r="A52" s="9" t="inlineStr">
        <is>
          <t>Issue</t>
        </is>
      </c>
      <c r="B52" s="9" t="inlineStr">
        <is>
          <t>Description</t>
        </is>
      </c>
      <c r="C52" s="9" t="inlineStr">
        <is>
          <t>Date</t>
        </is>
      </c>
      <c r="D52" s="9" t="inlineStr">
        <is>
          <t>By / Status</t>
        </is>
      </c>
      <c r="E52" s="26" t="n"/>
      <c r="F52" s="27" t="n"/>
    </row>
    <row r="53" ht="56" customHeight="1">
      <c r="A53" s="10" t="inlineStr">
        <is>
          <t>01</t>
        </is>
      </c>
      <c r="B53" s="10" t="inlineStr">
        <is>
          <t>First issue as BOQ package (from Extra Info take-off of 16/10/2026). Live pricing workbook: supply and install rates, package summaries and cover overview by formula; rates blank for pricing by others</t>
        </is>
      </c>
      <c r="C53" s="10" t="inlineStr">
        <is>
          <t>19/10/2026</t>
        </is>
      </c>
      <c r="D53" s="10" t="inlineStr">
        <is>
          <t>BuildEase - T. Smith / For information / pricing by others</t>
        </is>
      </c>
      <c r="E53" s="10" t="n"/>
      <c r="F53" s="10" t="n"/>
    </row>
    <row r="55">
      <c r="A55" s="25" t="inlineStr">
        <is>
          <t>Contents</t>
        </is>
      </c>
    </row>
    <row r="56">
      <c r="A56" t="inlineStr">
        <is>
          <t>Cover (this sheet) - overview</t>
        </is>
      </c>
    </row>
    <row r="57">
      <c r="A57" t="inlineStr">
        <is>
          <t>General Notes</t>
        </is>
      </c>
    </row>
    <row r="58">
      <c r="A58" t="inlineStr">
        <is>
          <t>Summary of Bills (section breakdown)</t>
        </is>
      </c>
    </row>
    <row r="59">
      <c r="A59" t="inlineStr">
        <is>
          <t>Bill 1 Concrete Core</t>
        </is>
      </c>
    </row>
    <row r="60">
      <c r="A60" t="inlineStr">
        <is>
          <t>Bill 2 External Finishes</t>
        </is>
      </c>
    </row>
    <row r="61">
      <c r="A61" t="inlineStr">
        <is>
          <t>Bill 3 Internal Linings</t>
        </is>
      </c>
    </row>
    <row r="62">
      <c r="A62" t="inlineStr">
        <is>
          <t>Bill 4 Doors</t>
        </is>
      </c>
    </row>
    <row r="63">
      <c r="A63" t="inlineStr">
        <is>
          <t>Bill 5 Joinery</t>
        </is>
      </c>
    </row>
    <row r="64">
      <c r="A64" t="inlineStr">
        <is>
          <t>Bill 6 Partitions</t>
        </is>
      </c>
    </row>
    <row r="65">
      <c r="A65" t="inlineStr">
        <is>
          <t>Schedule A Floor Areas (not priced)</t>
        </is>
      </c>
    </row>
    <row r="66">
      <c r="A66" t="inlineStr">
        <is>
          <t>Schedule B Openings (not priced)</t>
        </is>
      </c>
    </row>
  </sheetData>
  <sheetProtection selectLockedCells="0" selectUnlockedCells="0" sheet="1" objects="0" insertRows="1" insertHyperlinks="1" autoFilter="1" scenarios="0" formatColumns="0" deleteColumns="1" insertColumns="1" pivotTables="1" deleteRows="1" formatCells="1" formatRows="0" sort="1"/>
  <mergeCells count="34">
    <mergeCell ref="A30:E30"/>
    <mergeCell ref="A16:F16"/>
    <mergeCell ref="A41:C41"/>
    <mergeCell ref="B7:F7"/>
    <mergeCell ref="A37:C37"/>
    <mergeCell ref="A46:C46"/>
    <mergeCell ref="D53:F53"/>
    <mergeCell ref="A33:F33"/>
    <mergeCell ref="A42:C42"/>
    <mergeCell ref="B12:F12"/>
    <mergeCell ref="A47:C47"/>
    <mergeCell ref="B11:F11"/>
    <mergeCell ref="A35:F35"/>
    <mergeCell ref="A4:F4"/>
    <mergeCell ref="B14:F14"/>
    <mergeCell ref="B8:F8"/>
    <mergeCell ref="A43:C43"/>
    <mergeCell ref="A38:C38"/>
    <mergeCell ref="B13:F13"/>
    <mergeCell ref="A44:C44"/>
    <mergeCell ref="B10:F10"/>
    <mergeCell ref="A31:F31"/>
    <mergeCell ref="A40:C40"/>
    <mergeCell ref="C1:F1"/>
    <mergeCell ref="A39:C39"/>
    <mergeCell ref="A48:C48"/>
    <mergeCell ref="A24:C24"/>
    <mergeCell ref="B9:F9"/>
    <mergeCell ref="A36:C36"/>
    <mergeCell ref="A49:C49"/>
    <mergeCell ref="B6:F6"/>
    <mergeCell ref="A45:C45"/>
    <mergeCell ref="D52:F52"/>
    <mergeCell ref="C2:F2"/>
  </mergeCells>
  <printOptions horizontalCentered="1"/>
  <pageMargins left="0.75" right="0.75" top="0.7" bottom="0.75" header="0.5" footer="0.5"/>
  <pageSetup orientation="portrait" paperSize="9" fitToHeight="0" fitToWidth="1"/>
  <headerFooter>
    <oddHeader>&amp;L&amp;8 BuildEase  |  ES26-081 Lon Eilian, Caernarfon  |  Beech Developments&amp;R&amp;8 Bill of Quantities Package - Ancillary Trades - Issue 01</oddHeader>
    <oddFooter>&amp;L&amp;7 &amp;KC98A1BSupplied in good faith for guidance only. NOT part of the Nudura ICF price. Check and verify with the appropriate professional before use. No waste unless stated.&amp;R&amp;8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B55"/>
  <sheetViews>
    <sheetView showGridLines="0" workbookViewId="0">
      <selection activeCell="A1" sqref="A1"/>
    </sheetView>
  </sheetViews>
  <sheetFormatPr baseColWidth="8" defaultRowHeight="15"/>
  <cols>
    <col width="14" customWidth="1" min="1" max="1"/>
    <col width="116" customWidth="1" min="2" max="2"/>
  </cols>
  <sheetData>
    <row r="1" ht="22" customHeight="1">
      <c r="B1" s="1" t="inlineStr">
        <is>
          <t>General Notes, Measurement Basis, Assumptions &amp; Exclusions</t>
        </is>
      </c>
    </row>
    <row r="2" ht="18" customHeight="1">
      <c r="B2" s="2" t="inlineStr">
        <is>
          <t>ES26-081  |  Lon Eilian, Caernarfon  |  Beech Developments</t>
        </is>
      </c>
    </row>
    <row r="3" ht="4" customHeight="1">
      <c r="A3" s="3" t="n"/>
      <c r="B3" s="3" t="n"/>
    </row>
    <row r="4" ht="62" customHeight="1">
      <c r="A4" s="4"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quotation model and drawings; no allowance for waste is included unless stated. Plot C/D is the handed mirror of Plot A/B; quantities match except Bill 6. Rates and amounts are by others.</t>
        </is>
      </c>
    </row>
    <row r="6">
      <c r="A6" s="28" t="inlineStr">
        <is>
          <t>1  Purpose and status</t>
        </is>
      </c>
    </row>
    <row r="7" ht="45" customHeight="1">
      <c r="A7" s="2" t="inlineStr">
        <is>
          <t>1.1</t>
        </is>
      </c>
      <c r="B7" s="6" t="inlineStr">
        <is>
          <t>This package presents the ancillary-trade quantities measured by BuildEase alongside the Nudura ICF quotation for Lon Eilian, Caernarfon (ref ES26-081). It is set out in the form of a Bill of Quantities so that the client, their quantity surveyor and trade contractors can price and coordinate the works.</t>
        </is>
      </c>
    </row>
    <row r="8" ht="45" customHeight="1">
      <c r="A8" s="2" t="inlineStr">
        <is>
          <t>1.2</t>
        </is>
      </c>
      <c r="B8" s="6" t="inlineStr">
        <is>
          <t>Status: FOR INFORMATION, COORDINATION AND PRICING BY OTHERS. Supply and install rates are left blank deliberately - BuildEase / Tremco CPG are not pricing these trades. The Excel workbook is a live pricing document: enter rates and every amount, section subtotal, package total and the cover overview update by formula.</t>
        </is>
      </c>
    </row>
    <row r="9" ht="45" customHeight="1">
      <c r="A9" s="2" t="inlineStr">
        <is>
          <t>1.3</t>
        </is>
      </c>
      <c r="B9" s="29" t="inlineStr">
        <is>
          <t>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t>
        </is>
      </c>
    </row>
    <row r="10" ht="30" customHeight="1">
      <c r="A10" s="2" t="inlineStr">
        <is>
          <t>1.4</t>
        </is>
      </c>
      <c r="B10" s="29" t="inlineStr">
        <is>
          <t>Quantities are measured from the quotation model and drawings; no allowance for waste is included unless stated. Plot C/D is the handed mirror of Plot A/B; quantities match except Bill 6. Rates and amounts are by others.</t>
        </is>
      </c>
    </row>
    <row r="12">
      <c r="A12" s="28" t="inlineStr">
        <is>
          <t>2  Basis of measurement</t>
        </is>
      </c>
    </row>
    <row r="13" ht="45" customHeight="1">
      <c r="A13" s="2" t="inlineStr">
        <is>
          <t>2.1</t>
        </is>
      </c>
      <c r="B13" s="6" t="inlineStr">
        <is>
          <t>Measured generally in accordance with the principles of NRM2 (RICS New Rules of Measurement, Detailed measurement for building works): work measured net as fixed in position, items grouped by work section, units m / m2 / m3 / nr / item. NRM2 is referenced for structure only; descriptions are BuildEase's own.</t>
        </is>
      </c>
    </row>
    <row r="14" ht="30" customHeight="1">
      <c r="A14" s="2" t="inlineStr">
        <is>
          <t>2.2</t>
        </is>
      </c>
      <c r="B14" s="6" t="inlineStr">
        <is>
          <t>Quantities are NET. No allowance for waste, laps, cutting or breakage is included unless stated. Where useful an "Order guide" with a stated waste % is given in the Notes column; it is guidance only.</t>
        </is>
      </c>
    </row>
    <row r="15" ht="45" customHeight="1">
      <c r="A15" s="2" t="inlineStr">
        <is>
          <t>2.3</t>
        </is>
      </c>
      <c r="B15" s="6" t="inlineStr">
        <is>
          <t>Quantities are given to two decimal places and are not rounded to whole units. Per-plot columns: Plot A/B (GF flat + FF flat) and Plot C/D (GF flat + FF flat). Plot C/D is the handed mirror of Plot A/B; quantities match except Bill 6.</t>
        </is>
      </c>
    </row>
    <row r="16" ht="75" customHeight="1">
      <c r="A16" s="2" t="inlineStr">
        <is>
          <t>2.4</t>
        </is>
      </c>
      <c r="B16" s="6" t="inlineStr">
        <is>
          <t>Sources: drawing P1361-LEC-SAL-02-ZZ-DR-A-0007 P2 (2B1P flat plans and elevations, vector, 1:100 @ A2); site elevations 0005 P04 for the porch lean-to; the BuildEase quotation model (structural openings, wall set-out, timber partitions and internal doors); the model concrete core (04_Logs/build/core.json); for Bill 6 the TLSTF timber-frame model extract (construction_data.json, drawings ES26-081-TF-01 / TF-02), 04_Logs/specs/LE_partitions.json and the LEP2 partition build reports.</t>
        </is>
      </c>
    </row>
    <row r="17" ht="45" customHeight="1">
      <c r="A17" s="2" t="inlineStr">
        <is>
          <t>2.5</t>
        </is>
      </c>
      <c r="B17" s="6" t="inlineStr">
        <is>
          <t>Bills 1 to 5 are generated from the Extra Info take-off of 16/10/2026 (le_xi_takeoff.py) and are identical to it; this package only re-presents them. Bill 6 (timber stud partitions) is measured from the TLSTF model extract of 19/10/2026 and agrees with the timber schedules on the TF sheets.</t>
        </is>
      </c>
    </row>
    <row r="19">
      <c r="A19" s="28" t="inlineStr">
        <is>
          <t>3  Assumptions</t>
        </is>
      </c>
    </row>
    <row r="20" ht="30" customHeight="1">
      <c r="A20" s="2" t="inlineStr">
        <is>
          <t>3.1</t>
        </is>
      </c>
      <c r="B20" s="6" t="inlineStr">
        <is>
          <t>Walls: external ICF 6in XR35 (355.6 mm overall); party and stair-enclosure walls 6in Standard (285.75 mm). ICF concrete core 152.4 mm.</t>
        </is>
      </c>
    </row>
    <row r="21" ht="30" customHeight="1">
      <c r="A21" s="2" t="inlineStr">
        <is>
          <t>3.2</t>
        </is>
      </c>
      <c r="B21" s="6" t="inlineStr">
        <is>
          <t>Windows / doors set 1/3 back from the outer ICF face (118.5 mm). External reveal = set-back + finish (render 10 mm / slips 25 mm). Internal reveal = 195 mm (ICF less set-back less frame 70 plus lining 27.5).</t>
        </is>
      </c>
    </row>
    <row r="22" ht="30" customHeight="1">
      <c r="A22" s="2" t="inlineStr">
        <is>
          <t>3.3</t>
        </is>
      </c>
      <c r="B22" s="6" t="inlineStr">
        <is>
          <t>Heights: GF walls FFL 0 to underside of FF joists 2575; FF walls from 2850 to ceiling under truss bottom chords (2450). Floor zone 2,575-2,850 excluded except the stair-well band.</t>
        </is>
      </c>
    </row>
    <row r="23" ht="30" customHeight="1">
      <c r="A23" s="2" t="inlineStr">
        <is>
          <t>3.4</t>
        </is>
      </c>
      <c r="B23" s="6" t="inlineStr">
        <is>
          <t>Render: Dryvit direct-applied over ICF EPS. Brick slips: Monolith system. Both are proposals to be confirmed with the suppliers.</t>
        </is>
      </c>
    </row>
    <row r="24" ht="45" customHeight="1">
      <c r="A24" s="2" t="inlineStr">
        <is>
          <t>3.5</t>
        </is>
      </c>
      <c r="B24" s="6" t="inlineStr">
        <is>
          <t>Plasterboard: 12.5 mm wallboard to ICF faces (MR in bathrooms); 15 mm Type F fire board to party and stair-enclosure walls; 15 mm each side of 38 x 89 stud partitions; GF ceiling (separating floor) 2 x 15 mm fire / acoustic board on resilient bars; FF ceilings 12.5 mm plus VCL.</t>
        </is>
      </c>
    </row>
    <row r="25" ht="30" customHeight="1">
      <c r="A25" s="2" t="inlineStr">
        <is>
          <t>3.6</t>
        </is>
      </c>
      <c r="B25" s="6" t="inlineStr">
        <is>
          <t>Doors: 1,210 mm gaps taken as cupboard pairs. Under-stair store door FD30S self-closing as a precaution. Flat entrance doors open to outside (PAS 24 / SBD, not FD30S).</t>
        </is>
      </c>
    </row>
    <row r="26" ht="30" customHeight="1">
      <c r="A26" s="2" t="inlineStr">
        <is>
          <t>3.7</t>
        </is>
      </c>
      <c r="B26" s="6" t="inlineStr">
        <is>
          <t>Concrete core: net from the model; order guide +5%, 6 m3 truck mixers, 60 m3 per pump per day, one pour per form level.</t>
        </is>
      </c>
    </row>
    <row r="28">
      <c r="A28" s="28" t="inlineStr">
        <is>
          <t>4  Exclusions (not measured in this package)</t>
        </is>
      </c>
    </row>
    <row r="29" ht="15" customHeight="1">
      <c r="A29" s="2" t="inlineStr">
        <is>
          <t>4.1</t>
        </is>
      </c>
      <c r="B29" s="6" t="inlineStr">
        <is>
          <t>Nudura ICF formwork and accessories (in the Nudura price - see section 6).</t>
        </is>
      </c>
    </row>
    <row r="30" ht="30" customHeight="1">
      <c r="A30" s="2" t="inlineStr">
        <is>
          <t>4.2</t>
        </is>
      </c>
      <c r="B30" s="6" t="inlineStr">
        <is>
          <t>Supply of windows and external doorsets, external cills (listed for coordination only), roof coverings, soffits, fascias and rainwater goods.</t>
        </is>
      </c>
    </row>
    <row r="31" ht="30" customHeight="1">
      <c r="A31" s="2" t="inlineStr">
        <is>
          <t>4.3</t>
        </is>
      </c>
      <c r="B31" s="6" t="inlineStr">
        <is>
          <t>Floor finishes and screeds, decorations, staircases and balustrades, kitchens, sanitaryware, M&amp;E services and builder's work.</t>
        </is>
      </c>
    </row>
    <row r="32" ht="30" customHeight="1">
      <c r="A32" s="2" t="inlineStr">
        <is>
          <t>4.4</t>
        </is>
      </c>
      <c r="B32" s="6" t="inlineStr">
        <is>
          <t>Reinforcement design and scheduling, concrete mix design, temporary works, scaffolding and access, preliminaries, waste removal, VAT.</t>
        </is>
      </c>
    </row>
    <row r="33" ht="30" customHeight="1">
      <c r="A33" s="2" t="inlineStr">
        <is>
          <t>4.5</t>
        </is>
      </c>
      <c r="B33" s="6" t="inlineStr">
        <is>
          <t>Fire-stopping, cavity barriers, insulation to partitions and floors, sealants and mastics, except where expressly described.</t>
        </is>
      </c>
    </row>
    <row r="35">
      <c r="A35" s="28" t="inlineStr">
        <is>
          <t>5  Items to be confirmed</t>
        </is>
      </c>
    </row>
    <row r="36" ht="45" customHeight="1">
      <c r="A36" s="2" t="inlineStr">
        <is>
          <t>5.1</t>
        </is>
      </c>
      <c r="B36" s="6" t="inlineStr">
        <is>
          <t>Room areas match the drawn schedule within 0.05 m2 except: GF store 3.24 m2 on plan vs 2.9 drawn (headroom); GF stair lobby 3.05 vs 2.5 drawn; FF hall 6.88 m2 excluding the stair void vs 10.5 drawn (incl. void and landing). See Schedule A.</t>
        </is>
      </c>
    </row>
    <row r="37" ht="30" customHeight="1">
      <c r="A37" s="2" t="inlineStr">
        <is>
          <t>5.2</t>
        </is>
      </c>
      <c r="B37" s="6" t="inlineStr">
        <is>
          <t>Porch / stair-lobby side walls are not on the 0007 elevations; taken as brick slip from the site side elevation (trapezoid 2,360 rising at 23 deg).</t>
        </is>
      </c>
    </row>
    <row r="38" ht="15" customHeight="1">
      <c r="A38" s="2" t="inlineStr">
        <is>
          <t>5.3</t>
        </is>
      </c>
      <c r="B38" s="6" t="inlineStr">
        <is>
          <t>1,210 mm door gaps (G6 GF hall to A/C, F9 FF A/C) taken as cupboard pairs.</t>
        </is>
      </c>
    </row>
    <row r="39" ht="15" customHeight="1">
      <c r="A39" s="2" t="inlineStr">
        <is>
          <t>5.4</t>
        </is>
      </c>
      <c r="B39" s="6" t="inlineStr">
        <is>
          <t>FD30S to the under-stair store door is a precaution - confirm with Building Control.</t>
        </is>
      </c>
    </row>
    <row r="40" ht="15" customHeight="1">
      <c r="A40" s="2" t="inlineStr">
        <is>
          <t>5.5</t>
        </is>
      </c>
      <c r="B40" s="6" t="inlineStr">
        <is>
          <t>Board types and the Dryvit / Monolith build-ups are proposals - confirm with the suppliers and the designer.</t>
        </is>
      </c>
    </row>
    <row r="41" ht="15" customHeight="1">
      <c r="A41" s="2" t="inlineStr">
        <is>
          <t>5.6</t>
        </is>
      </c>
      <c r="B41" s="6" t="inlineStr">
        <is>
          <t>Concrete mix, reinforcement and pour sequence to the structural engineer.</t>
        </is>
      </c>
    </row>
    <row r="43">
      <c r="A43" s="28" t="inlineStr">
        <is>
          <t>6  What IS in the Nudura price (Quotation ES26-081 Rev A)</t>
        </is>
      </c>
    </row>
    <row r="44" ht="15" customHeight="1">
      <c r="A44" s="2" t="inlineStr">
        <is>
          <t>6.1</t>
        </is>
      </c>
      <c r="B44" s="6" t="inlineStr">
        <is>
          <t>Nudura pre-cut ICF kit for Plots A, B, C and D as modelled in the BuildEase Design Suite.</t>
        </is>
      </c>
    </row>
    <row r="45" ht="15" customHeight="1">
      <c r="A45" s="2" t="inlineStr">
        <is>
          <t>6.2</t>
        </is>
      </c>
      <c r="B45" s="6" t="inlineStr">
        <is>
          <t>Accessories: VJC clips, fibre tape, protective tape, spray foam, Form Lock and T-junction straps.</t>
        </is>
      </c>
    </row>
    <row r="46" ht="30" customHeight="1">
      <c r="A46" s="2" t="inlineStr">
        <is>
          <t>6.3</t>
        </is>
      </c>
      <c r="B46" s="6" t="inlineStr">
        <is>
          <t>BuildEase Pre-Cut Service: design, coordination, installation drawings, pre-cutting and packaging of forms, field services support.</t>
        </is>
      </c>
    </row>
    <row r="47" ht="30" customHeight="1">
      <c r="A47" s="2" t="inlineStr">
        <is>
          <t>6.4</t>
        </is>
      </c>
      <c r="B47" s="6" t="inlineStr">
        <is>
          <t>Alignment: 4 stillages of alignment systems for 4 weeks. Haulage: estimate, to be confirmed on the agreed build sequence.</t>
        </is>
      </c>
    </row>
    <row r="48" ht="15" customHeight="1">
      <c r="A48" s="2" t="inlineStr">
        <is>
          <t>6.5</t>
        </is>
      </c>
      <c r="B48" s="6" t="inlineStr">
        <is>
          <t>Nothing in Bills 1 to 6 of this package is included in the Nudura price.</t>
        </is>
      </c>
    </row>
    <row r="50">
      <c r="A50" s="28" t="inlineStr">
        <is>
          <t>7  Pricing instructions to tenderers</t>
        </is>
      </c>
    </row>
    <row r="51" ht="45" customHeight="1">
      <c r="A51" s="2" t="inlineStr">
        <is>
          <t>7.1</t>
        </is>
      </c>
      <c r="B51" s="6" t="inlineStr">
        <is>
          <t>Each bill item has a SUPPLY rate and an INSTALL rate. Insert rates only in the pale-yellow cells of the Excel workbook: Supply = Total qty x Supply rate; Install = Total qty x Install rate; Line total = Supply + Install. Items measured as "item" are lump sums: the rate entered is the amount.</t>
        </is>
      </c>
    </row>
    <row r="52" ht="45" customHeight="1">
      <c r="A52" s="2" t="inlineStr">
        <is>
          <t>7.2</t>
        </is>
      </c>
      <c r="B52" s="6" t="inlineStr">
        <is>
          <t>Each bill ends with a Package Summary (section subtotals for Supply / Install / Total and the package total). The Cover carries the full overview: one row per bill, grand totals, and optional Preliminaries, Overheads &amp; profit and Contingency percentages (pale-yellow cells; blank = 0).</t>
        </is>
      </c>
    </row>
    <row r="53" ht="30" customHeight="1">
      <c r="A53" s="2" t="inlineStr">
        <is>
          <t>7.3</t>
        </is>
      </c>
      <c r="B53" s="6" t="inlineStr">
        <is>
          <t>All other cells are locked by sheet protection (no password - Review &gt; Unprotect Sheet if a change is genuinely needed) so formulas cannot be overwritten by accident.</t>
        </is>
      </c>
    </row>
    <row r="54" ht="30" customHeight="1">
      <c r="A54" s="2" t="inlineStr">
        <is>
          <t>7.4</t>
        </is>
      </c>
      <c r="B54" s="6" t="inlineStr">
        <is>
          <t>Re-measure and verify all quantities before pricing or ordering. State any qualification against the item in the Notes column.</t>
        </is>
      </c>
    </row>
    <row r="55" ht="30" customHeight="1">
      <c r="A55" s="2" t="inlineStr">
        <is>
          <t>7.5</t>
        </is>
      </c>
      <c r="B55" s="6" t="inlineStr">
        <is>
          <t>The Order guide figures and the Schedules A and B are not measured bill items and must not be priced as such. All amounts exclude VAT.</t>
        </is>
      </c>
    </row>
  </sheetData>
  <sheetProtection selectLockedCells="0" selectUnlockedCells="0" sheet="1" objects="0" insertRows="1" insertHyperlinks="1" autoFilter="1" scenarios="0" formatColumns="0" deleteColumns="1" insertColumns="1" pivotTables="1" deleteRows="1" formatCells="1" formatRows="0" sort="1"/>
  <mergeCells count="8">
    <mergeCell ref="A4:B4"/>
    <mergeCell ref="A43:B43"/>
    <mergeCell ref="A50:B50"/>
    <mergeCell ref="A19:B19"/>
    <mergeCell ref="A28:B28"/>
    <mergeCell ref="A6:B6"/>
    <mergeCell ref="A35:B35"/>
    <mergeCell ref="A12:B12"/>
  </mergeCells>
  <printOptions horizontalCentered="1"/>
  <pageMargins left="0.75" right="0.75" top="0.7" bottom="0.75" header="0.5" footer="0.5"/>
  <pageSetup orientation="portrait" paperSize="9" fitToHeight="0" fitToWidth="1"/>
  <headerFooter>
    <oddHeader>&amp;L&amp;8 BuildEase  |  ES26-081 Lon Eilian, Caernarfon  |  Beech Developments&amp;R&amp;8 Bill of Quantities Package - Ancillary Trades - Issue 01</oddHeader>
    <oddFooter>&amp;L&amp;7 &amp;KC98A1BSupplied in good faith for guidance only. NOT part of the Nudura ICF price. Check and verify with the appropriate professional before use. No waste unless stated.&amp;R&amp;8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F35"/>
  <sheetViews>
    <sheetView showGridLines="0" workbookViewId="0">
      <pane ySplit="6" topLeftCell="A7" activePane="bottomLeft" state="frozen"/>
      <selection pane="bottomLeft" activeCell="A1" sqref="A1"/>
    </sheetView>
  </sheetViews>
  <sheetFormatPr baseColWidth="8" defaultRowHeight="15"/>
  <cols>
    <col width="10" customWidth="1" min="1" max="1"/>
    <col width="10" customWidth="1" min="2" max="2"/>
    <col width="58" customWidth="1" min="3" max="3"/>
    <col width="16" customWidth="1" min="4" max="4"/>
    <col width="16" customWidth="1" min="5" max="5"/>
    <col width="16" customWidth="1" min="6" max="6"/>
  </cols>
  <sheetData>
    <row r="1" ht="22" customHeight="1">
      <c r="C1" s="1" t="inlineStr">
        <is>
          <t>Summary of Bills - section breakdown</t>
        </is>
      </c>
    </row>
    <row r="2" ht="18" customHeight="1">
      <c r="C2" s="2" t="inlineStr">
        <is>
          <t>ES26-081  |  Lon Eilian, Caernarfon  |  Beech Developments  -  amounts by others, excl. VAT</t>
        </is>
      </c>
    </row>
    <row r="3" ht="4" customHeight="1">
      <c r="A3" s="3" t="n"/>
      <c r="B3" s="3" t="n"/>
      <c r="C3" s="3" t="n"/>
      <c r="D3" s="3" t="n"/>
      <c r="E3" s="3" t="n"/>
      <c r="F3" s="3" t="n"/>
    </row>
    <row r="4" ht="62" customHeight="1">
      <c r="A4" s="4"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quotation model and drawings; no allowance for waste is included unless stated. Plot C/D is the handed mirror of Plot A/B; quantities match except Bill 6. Rates and amounts are by others.</t>
        </is>
      </c>
    </row>
    <row r="6" ht="28" customHeight="1">
      <c r="A6" s="9" t="inlineStr">
        <is>
          <t>Bill</t>
        </is>
      </c>
      <c r="B6" s="9" t="inlineStr">
        <is>
          <t>Section</t>
        </is>
      </c>
      <c r="C6" s="9" t="inlineStr">
        <is>
          <t>Description</t>
        </is>
      </c>
      <c r="D6" s="9" t="inlineStr">
        <is>
          <t>Supply £</t>
        </is>
      </c>
      <c r="E6" s="9" t="inlineStr">
        <is>
          <t>Install £</t>
        </is>
      </c>
      <c r="F6" s="9" t="inlineStr">
        <is>
          <t>Total £</t>
        </is>
      </c>
    </row>
    <row r="7">
      <c r="A7" s="10" t="n">
        <v>1</v>
      </c>
      <c r="B7" s="10" t="inlineStr">
        <is>
          <t>1A</t>
        </is>
      </c>
      <c r="C7" s="10" t="inlineStr">
        <is>
          <t>In-situ concrete to ICF wall cores (NRM2 11 / package FRM)</t>
        </is>
      </c>
      <c r="D7" s="11">
        <f>'Bill 1 Concrete Core'!I18</f>
        <v/>
      </c>
      <c r="E7" s="11">
        <f>'Bill 1 Concrete Core'!J18</f>
        <v/>
      </c>
      <c r="F7" s="11">
        <f>'Bill 1 Concrete Core'!K18</f>
        <v/>
      </c>
    </row>
    <row r="8">
      <c r="A8" s="10" t="n">
        <v>1</v>
      </c>
      <c r="B8" s="10" t="inlineStr">
        <is>
          <t>1B</t>
        </is>
      </c>
      <c r="C8" s="10" t="inlineStr">
        <is>
          <t>Reinforcement and associated items (to engineer's design - not measured)</t>
        </is>
      </c>
      <c r="D8" s="11">
        <f>'Bill 1 Concrete Core'!I19</f>
        <v/>
      </c>
      <c r="E8" s="11">
        <f>'Bill 1 Concrete Core'!J19</f>
        <v/>
      </c>
      <c r="F8" s="11">
        <f>'Bill 1 Concrete Core'!K19</f>
        <v/>
      </c>
    </row>
    <row r="9">
      <c r="A9" s="30" t="inlineStr">
        <is>
          <t>Bill 1 - Substructure &amp; Frame - ICF Concrete Core (package FRM)</t>
        </is>
      </c>
      <c r="D9" s="13">
        <f>'Bill 1 Concrete Core'!I20</f>
        <v/>
      </c>
      <c r="E9" s="13">
        <f>'Bill 1 Concrete Core'!J20</f>
        <v/>
      </c>
      <c r="F9" s="13">
        <f>'Bill 1 Concrete Core'!K20</f>
        <v/>
      </c>
    </row>
    <row r="10">
      <c r="A10" s="10" t="n">
        <v>2</v>
      </c>
      <c r="B10" s="10" t="inlineStr">
        <is>
          <t>2A</t>
        </is>
      </c>
      <c r="C10" s="10" t="inlineStr">
        <is>
          <t>Thin-coat render system over ICF (NRM2 28 / package CLD)</t>
        </is>
      </c>
      <c r="D10" s="11">
        <f>'Bill 2 External Finishes'!I35</f>
        <v/>
      </c>
      <c r="E10" s="11">
        <f>'Bill 2 External Finishes'!J35</f>
        <v/>
      </c>
      <c r="F10" s="11">
        <f>'Bill 2 External Finishes'!K35</f>
        <v/>
      </c>
    </row>
    <row r="11">
      <c r="A11" s="10" t="n">
        <v>2</v>
      </c>
      <c r="B11" s="10" t="inlineStr">
        <is>
          <t>2B</t>
        </is>
      </c>
      <c r="C11" s="10" t="inlineStr">
        <is>
          <t>Brick slip system over ICF (NRM2 21 / package CLD)</t>
        </is>
      </c>
      <c r="D11" s="11">
        <f>'Bill 2 External Finishes'!I36</f>
        <v/>
      </c>
      <c r="E11" s="11">
        <f>'Bill 2 External Finishes'!J36</f>
        <v/>
      </c>
      <c r="F11" s="11">
        <f>'Bill 2 External Finishes'!K36</f>
        <v/>
      </c>
    </row>
    <row r="12">
      <c r="A12" s="10" t="n">
        <v>2</v>
      </c>
      <c r="B12" s="10" t="inlineStr">
        <is>
          <t>2C</t>
        </is>
      </c>
      <c r="C12" s="10" t="inlineStr">
        <is>
          <t>Render beads and trims (NRM2 28 / package CLD)</t>
        </is>
      </c>
      <c r="D12" s="11">
        <f>'Bill 2 External Finishes'!I37</f>
        <v/>
      </c>
      <c r="E12" s="11">
        <f>'Bill 2 External Finishes'!J37</f>
        <v/>
      </c>
      <c r="F12" s="11">
        <f>'Bill 2 External Finishes'!K37</f>
        <v/>
      </c>
    </row>
    <row r="13">
      <c r="A13" s="10" t="n">
        <v>2</v>
      </c>
      <c r="B13" s="10" t="inlineStr">
        <is>
          <t>2D</t>
        </is>
      </c>
      <c r="C13" s="10" t="inlineStr">
        <is>
          <t>Coordination items (supply by others)</t>
        </is>
      </c>
      <c r="D13" s="11">
        <f>'Bill 2 External Finishes'!I38</f>
        <v/>
      </c>
      <c r="E13" s="11">
        <f>'Bill 2 External Finishes'!J38</f>
        <v/>
      </c>
      <c r="F13" s="11">
        <f>'Bill 2 External Finishes'!K38</f>
        <v/>
      </c>
    </row>
    <row r="14">
      <c r="A14" s="30" t="inlineStr">
        <is>
          <t>Bill 2 - External Wall Finishes - Render, Brick Slips &amp; Beads (package CLD)</t>
        </is>
      </c>
      <c r="D14" s="13">
        <f>'Bill 2 External Finishes'!I39</f>
        <v/>
      </c>
      <c r="E14" s="13">
        <f>'Bill 2 External Finishes'!J39</f>
        <v/>
      </c>
      <c r="F14" s="13">
        <f>'Bill 2 External Finishes'!K39</f>
        <v/>
      </c>
    </row>
    <row r="15">
      <c r="A15" s="10" t="n">
        <v>3</v>
      </c>
      <c r="B15" s="10" t="inlineStr">
        <is>
          <t>3A</t>
        </is>
      </c>
      <c r="C15" s="10" t="inlineStr">
        <is>
          <t>Plasterboard wall linings (NRM2 28 / package DRY)</t>
        </is>
      </c>
      <c r="D15" s="11">
        <f>'Bill 3 Internal Linings'!I39</f>
        <v/>
      </c>
      <c r="E15" s="11">
        <f>'Bill 3 Internal Linings'!J39</f>
        <v/>
      </c>
      <c r="F15" s="11">
        <f>'Bill 3 Internal Linings'!K39</f>
        <v/>
      </c>
    </row>
    <row r="16">
      <c r="A16" s="10" t="n">
        <v>3</v>
      </c>
      <c r="B16" s="10" t="inlineStr">
        <is>
          <t>3B</t>
        </is>
      </c>
      <c r="C16" s="10" t="inlineStr">
        <is>
          <t>Plasterboard ceilings (NRM2 28 / package DRY)</t>
        </is>
      </c>
      <c r="D16" s="11">
        <f>'Bill 3 Internal Linings'!I40</f>
        <v/>
      </c>
      <c r="E16" s="11">
        <f>'Bill 3 Internal Linings'!J40</f>
        <v/>
      </c>
      <c r="F16" s="11">
        <f>'Bill 3 Internal Linings'!K40</f>
        <v/>
      </c>
    </row>
    <row r="17">
      <c r="A17" s="10" t="n">
        <v>3</v>
      </c>
      <c r="B17" s="10" t="inlineStr">
        <is>
          <t>3C</t>
        </is>
      </c>
      <c r="C17" s="10" t="inlineStr">
        <is>
          <t>Jointing, beads and skim (NRM2 28 / package DRY)</t>
        </is>
      </c>
      <c r="D17" s="11">
        <f>'Bill 3 Internal Linings'!I41</f>
        <v/>
      </c>
      <c r="E17" s="11">
        <f>'Bill 3 Internal Linings'!J41</f>
        <v/>
      </c>
      <c r="F17" s="11">
        <f>'Bill 3 Internal Linings'!K41</f>
        <v/>
      </c>
    </row>
    <row r="18">
      <c r="A18" s="30" t="inlineStr">
        <is>
          <t>Bill 3 - Internal Linings - Plasterboard, Tape, Beads &amp; Skim (package DRY)</t>
        </is>
      </c>
      <c r="D18" s="13">
        <f>'Bill 3 Internal Linings'!I42</f>
        <v/>
      </c>
      <c r="E18" s="13">
        <f>'Bill 3 Internal Linings'!J42</f>
        <v/>
      </c>
      <c r="F18" s="13">
        <f>'Bill 3 Internal Linings'!K42</f>
        <v/>
      </c>
    </row>
    <row r="19">
      <c r="A19" s="10" t="n">
        <v>4</v>
      </c>
      <c r="B19" s="10" t="inlineStr">
        <is>
          <t>4A</t>
        </is>
      </c>
      <c r="C19" s="10" t="inlineStr">
        <is>
          <t>Internal doorsets (NRM2 24 / package JOI)</t>
        </is>
      </c>
      <c r="D19" s="11">
        <f>'Bill 4 Doors'!I35</f>
        <v/>
      </c>
      <c r="E19" s="11">
        <f>'Bill 4 Doors'!J35</f>
        <v/>
      </c>
      <c r="F19" s="11">
        <f>'Bill 4 Doors'!K35</f>
        <v/>
      </c>
    </row>
    <row r="20">
      <c r="A20" s="10" t="n">
        <v>4</v>
      </c>
      <c r="B20" s="10" t="inlineStr">
        <is>
          <t>4B</t>
        </is>
      </c>
      <c r="C20" s="10" t="inlineStr">
        <is>
          <t>Ironmongery (NRM2 24 / package JOI)</t>
        </is>
      </c>
      <c r="D20" s="11">
        <f>'Bill 4 Doors'!I36</f>
        <v/>
      </c>
      <c r="E20" s="11">
        <f>'Bill 4 Doors'!J36</f>
        <v/>
      </c>
      <c r="F20" s="11">
        <f>'Bill 4 Doors'!K36</f>
        <v/>
      </c>
    </row>
    <row r="21">
      <c r="A21" s="10" t="n">
        <v>4</v>
      </c>
      <c r="B21" s="10" t="inlineStr">
        <is>
          <t>4C</t>
        </is>
      </c>
      <c r="C21" s="10" t="inlineStr">
        <is>
          <t>External doorsets (for information - supply by others)</t>
        </is>
      </c>
      <c r="D21" s="11">
        <f>'Bill 4 Doors'!I37</f>
        <v/>
      </c>
      <c r="E21" s="11">
        <f>'Bill 4 Doors'!J37</f>
        <v/>
      </c>
      <c r="F21" s="11">
        <f>'Bill 4 Doors'!K37</f>
        <v/>
      </c>
    </row>
    <row r="22">
      <c r="A22" s="30" t="inlineStr">
        <is>
          <t>Bill 4 - Internal Doors &amp; Ironmongery (package JOI)</t>
        </is>
      </c>
      <c r="D22" s="13">
        <f>'Bill 4 Doors'!I38</f>
        <v/>
      </c>
      <c r="E22" s="13">
        <f>'Bill 4 Doors'!J38</f>
        <v/>
      </c>
      <c r="F22" s="13">
        <f>'Bill 4 Doors'!K38</f>
        <v/>
      </c>
    </row>
    <row r="23">
      <c r="A23" s="10" t="n">
        <v>5</v>
      </c>
      <c r="B23" s="10" t="inlineStr">
        <is>
          <t>5A</t>
        </is>
      </c>
      <c r="C23" s="10" t="inlineStr">
        <is>
          <t>Skirtings (NRM2 22 / package JOI)</t>
        </is>
      </c>
      <c r="D23" s="11">
        <f>'Bill 5 Joinery'!I45</f>
        <v/>
      </c>
      <c r="E23" s="11">
        <f>'Bill 5 Joinery'!J45</f>
        <v/>
      </c>
      <c r="F23" s="11">
        <f>'Bill 5 Joinery'!K45</f>
        <v/>
      </c>
    </row>
    <row r="24">
      <c r="A24" s="10" t="n">
        <v>5</v>
      </c>
      <c r="B24" s="10" t="inlineStr">
        <is>
          <t>5B</t>
        </is>
      </c>
      <c r="C24" s="10" t="inlineStr">
        <is>
          <t>Architraves (NRM2 22 / package JOI)</t>
        </is>
      </c>
      <c r="D24" s="11">
        <f>'Bill 5 Joinery'!I46</f>
        <v/>
      </c>
      <c r="E24" s="11">
        <f>'Bill 5 Joinery'!J46</f>
        <v/>
      </c>
      <c r="F24" s="11">
        <f>'Bill 5 Joinery'!K46</f>
        <v/>
      </c>
    </row>
    <row r="25">
      <c r="A25" s="10" t="n">
        <v>5</v>
      </c>
      <c r="B25" s="10" t="inlineStr">
        <is>
          <t>5C</t>
        </is>
      </c>
      <c r="C25" s="10" t="inlineStr">
        <is>
          <t>Window boards (NRM2 22 / package JOI)</t>
        </is>
      </c>
      <c r="D25" s="11">
        <f>'Bill 5 Joinery'!I47</f>
        <v/>
      </c>
      <c r="E25" s="11">
        <f>'Bill 5 Joinery'!J47</f>
        <v/>
      </c>
      <c r="F25" s="11">
        <f>'Bill 5 Joinery'!K47</f>
        <v/>
      </c>
    </row>
    <row r="26">
      <c r="A26" s="30" t="inlineStr">
        <is>
          <t>Bill 5 - Joinery - Skirtings, Architraves &amp; Window Boards (package JOI)</t>
        </is>
      </c>
      <c r="D26" s="13">
        <f>'Bill 5 Joinery'!I48</f>
        <v/>
      </c>
      <c r="E26" s="13">
        <f>'Bill 5 Joinery'!J48</f>
        <v/>
      </c>
      <c r="F26" s="13">
        <f>'Bill 5 Joinery'!K48</f>
        <v/>
      </c>
    </row>
    <row r="27">
      <c r="A27" s="10" t="n">
        <v>6</v>
      </c>
      <c r="B27" s="10" t="inlineStr">
        <is>
          <t>6A</t>
        </is>
      </c>
      <c r="C27" s="10" t="inlineStr">
        <is>
          <t>Timber stud partitions, non-loadbearing - framing (NRM2 16 / package JOI)</t>
        </is>
      </c>
      <c r="D27" s="11">
        <f>'Bill 6 Partitions'!I46</f>
        <v/>
      </c>
      <c r="E27" s="11">
        <f>'Bill 6 Partitions'!J46</f>
        <v/>
      </c>
      <c r="F27" s="11">
        <f>'Bill 6 Partitions'!K46</f>
        <v/>
      </c>
    </row>
    <row r="28">
      <c r="A28" s="10" t="n">
        <v>6</v>
      </c>
      <c r="B28" s="10" t="inlineStr">
        <is>
          <t>6B</t>
        </is>
      </c>
      <c r="C28" s="10" t="inlineStr">
        <is>
          <t>Partition timber - supply by section and grade (NRM2 16 / package JOI)</t>
        </is>
      </c>
      <c r="D28" s="11">
        <f>'Bill 6 Partitions'!I47</f>
        <v/>
      </c>
      <c r="E28" s="11">
        <f>'Bill 6 Partitions'!J47</f>
        <v/>
      </c>
      <c r="F28" s="11">
        <f>'Bill 6 Partitions'!K47</f>
        <v/>
      </c>
    </row>
    <row r="29">
      <c r="A29" s="10" t="n">
        <v>6</v>
      </c>
      <c r="B29" s="10" t="inlineStr">
        <is>
          <t>6C</t>
        </is>
      </c>
      <c r="C29" s="10" t="inlineStr">
        <is>
          <t>Forming door openings in partitions (NRM2 16 / package JOI)</t>
        </is>
      </c>
      <c r="D29" s="11">
        <f>'Bill 6 Partitions'!I48</f>
        <v/>
      </c>
      <c r="E29" s="11">
        <f>'Bill 6 Partitions'!J48</f>
        <v/>
      </c>
      <c r="F29" s="11">
        <f>'Bill 6 Partitions'!K48</f>
        <v/>
      </c>
    </row>
    <row r="30">
      <c r="A30" s="10" t="n">
        <v>6</v>
      </c>
      <c r="B30" s="10" t="inlineStr">
        <is>
          <t>6D</t>
        </is>
      </c>
      <c r="C30" s="10" t="inlineStr">
        <is>
          <t>Pattresses, noggins to floor and roof structure, head restraint (NRM2 16 / package JOI)</t>
        </is>
      </c>
      <c r="D30" s="11">
        <f>'Bill 6 Partitions'!I49</f>
        <v/>
      </c>
      <c r="E30" s="11">
        <f>'Bill 6 Partitions'!J49</f>
        <v/>
      </c>
      <c r="F30" s="11">
        <f>'Bill 6 Partitions'!K49</f>
        <v/>
      </c>
    </row>
    <row r="31">
      <c r="A31" s="10" t="n">
        <v>6</v>
      </c>
      <c r="B31" s="10" t="inlineStr">
        <is>
          <t>6E</t>
        </is>
      </c>
      <c r="C31" s="10" t="inlineStr">
        <is>
          <t>Fixings and sundries (NRM2 16 / package JOI)</t>
        </is>
      </c>
      <c r="D31" s="11">
        <f>'Bill 6 Partitions'!I50</f>
        <v/>
      </c>
      <c r="E31" s="11">
        <f>'Bill 6 Partitions'!J50</f>
        <v/>
      </c>
      <c r="F31" s="11">
        <f>'Bill 6 Partitions'!K50</f>
        <v/>
      </c>
    </row>
    <row r="32">
      <c r="A32" s="30" t="inlineStr">
        <is>
          <t>Bill 6 - Timber Stud Partitions - Framing, Openings, Pattresses &amp; Fixings (package JOI)</t>
        </is>
      </c>
      <c r="D32" s="13">
        <f>'Bill 6 Partitions'!I51</f>
        <v/>
      </c>
      <c r="E32" s="13">
        <f>'Bill 6 Partitions'!J51</f>
        <v/>
      </c>
      <c r="F32" s="13">
        <f>'Bill 6 Partitions'!K51</f>
        <v/>
      </c>
    </row>
    <row r="33">
      <c r="A33" s="31" t="inlineStr">
        <is>
          <t>TOTAL - ancillary trades, net (agrees with the Cover overview)</t>
        </is>
      </c>
      <c r="D33" s="13">
        <f>D9+D14+D18+D22+D26+D32</f>
        <v/>
      </c>
      <c r="E33" s="13">
        <f>E9+E14+E18+E22+E26+E32</f>
        <v/>
      </c>
      <c r="F33" s="13">
        <f>F9+F14+F18+F22+F26+F32</f>
        <v/>
      </c>
    </row>
    <row r="35" ht="26" customHeight="1">
      <c r="A35" s="32" t="inlineStr">
        <is>
          <t>Schedule A (Floor Areas) and Schedule B (Structural Openings) are reference schedules and are not priced. Preliminaries, overheads &amp; profit and contingency are applied on the Cover.</t>
        </is>
      </c>
    </row>
  </sheetData>
  <sheetProtection selectLockedCells="0" selectUnlockedCells="0" sheet="1" objects="0" insertRows="1" insertHyperlinks="1" autoFilter="1" scenarios="0" formatColumns="0" deleteColumns="1" insertColumns="1" pivotTables="1" deleteRows="1" formatCells="1" formatRows="0" sort="1"/>
  <mergeCells count="11">
    <mergeCell ref="A33:C33"/>
    <mergeCell ref="A32:C32"/>
    <mergeCell ref="A14:C14"/>
    <mergeCell ref="A22:C22"/>
    <mergeCell ref="A9:C9"/>
    <mergeCell ref="A18:C18"/>
    <mergeCell ref="C1:F1"/>
    <mergeCell ref="A35:F35"/>
    <mergeCell ref="A4:F4"/>
    <mergeCell ref="C2:F2"/>
    <mergeCell ref="A26:C26"/>
  </mergeCells>
  <printOptions horizontalCentered="1"/>
  <pageMargins left="0.75" right="0.75" top="0.7" bottom="0.75" header="0.5" footer="0.5"/>
  <pageSetup orientation="portrait" paperSize="9" fitToHeight="0" fitToWidth="1"/>
  <headerFooter>
    <oddHeader>&amp;L&amp;8 BuildEase  |  ES26-081 Lon Eilian, Caernarfon  |  Beech Developments&amp;R&amp;8 Bill of Quantities Package - Ancillary Trades - Issue 01</oddHeader>
    <oddFooter>&amp;L&amp;7 &amp;KC98A1BSupplied in good faith for guidance only. NOT part of the Nudura ICF price. Check and verify with the appropriate professional before use. No waste unless stated.&amp;R&amp;8 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L21"/>
  <sheetViews>
    <sheetView showGridLines="0" workbookViewId="0">
      <pane ySplit="6" topLeftCell="A7" activePane="bottomLeft" state="frozen"/>
      <selection pane="bottomLeft" activeCell="A1" sqref="A1"/>
    </sheetView>
  </sheetViews>
  <sheetFormatPr baseColWidth="8" defaultRowHeight="15"/>
  <cols>
    <col width="8" customWidth="1" min="1" max="1"/>
    <col width="56" customWidth="1" min="2" max="2"/>
    <col width="6" customWidth="1" min="3" max="3"/>
    <col width="10" customWidth="1" min="4" max="4"/>
    <col width="10" customWidth="1" min="5" max="5"/>
    <col width="10" customWidth="1" min="6" max="6"/>
    <col width="11" customWidth="1" min="7" max="7"/>
    <col width="11" customWidth="1" min="8" max="8"/>
    <col width="13" customWidth="1" min="9" max="9"/>
    <col width="13" customWidth="1" min="10" max="10"/>
    <col width="14" customWidth="1" min="11" max="11"/>
    <col width="42" customWidth="1" min="12" max="12"/>
  </cols>
  <sheetData>
    <row r="1" ht="22" customHeight="1">
      <c r="C1" s="1" t="inlineStr">
        <is>
          <t>Bill 1 - Substructure &amp; Frame - ICF Concrete Core</t>
        </is>
      </c>
    </row>
    <row r="2" ht="26" customHeight="1">
      <c r="C2" s="33" t="inlineStr">
        <is>
          <t>Concrete and reinforcement to fill the Nudura ICF walls. The Nudura price covers the formwork only - concrete, reinforcement and pumping are by others.  [NRM2 11 / package FRM]</t>
        </is>
      </c>
    </row>
    <row r="3" ht="4" customHeight="1">
      <c r="A3" s="3" t="n"/>
      <c r="B3" s="3" t="n"/>
      <c r="C3" s="3" t="n"/>
      <c r="D3" s="3" t="n"/>
      <c r="E3" s="3" t="n"/>
      <c r="F3" s="3" t="n"/>
      <c r="G3" s="3" t="n"/>
      <c r="H3" s="3" t="n"/>
      <c r="I3" s="3" t="n"/>
      <c r="J3" s="3" t="n"/>
      <c r="K3" s="3" t="n"/>
      <c r="L3" s="3" t="n"/>
    </row>
    <row r="4" ht="48" customHeight="1">
      <c r="A4" s="4"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quotation model and drawings; no allowance for waste is included unless stated. Plot C/D is the handed mirror of Plot A/B; quantities match except Bill 6. Rates and amounts are by others.</t>
        </is>
      </c>
    </row>
    <row r="6" ht="28" customHeight="1">
      <c r="A6" s="9" t="inlineStr">
        <is>
          <t>Ref</t>
        </is>
      </c>
      <c r="B6" s="9" t="inlineStr">
        <is>
          <t>Description</t>
        </is>
      </c>
      <c r="C6" s="9" t="inlineStr">
        <is>
          <t>Unit</t>
        </is>
      </c>
      <c r="D6" s="9" t="inlineStr">
        <is>
          <t>Plot A/B</t>
        </is>
      </c>
      <c r="E6" s="9" t="inlineStr">
        <is>
          <t>Plot C/D</t>
        </is>
      </c>
      <c r="F6" s="9" t="inlineStr">
        <is>
          <t>Total qty</t>
        </is>
      </c>
      <c r="G6" s="9" t="inlineStr">
        <is>
          <t>Supply rate
£</t>
        </is>
      </c>
      <c r="H6" s="9" t="inlineStr">
        <is>
          <t>Install rate
£</t>
        </is>
      </c>
      <c r="I6" s="9" t="inlineStr">
        <is>
          <t>Supply
£</t>
        </is>
      </c>
      <c r="J6" s="9" t="inlineStr">
        <is>
          <t>Install
£</t>
        </is>
      </c>
      <c r="K6" s="9" t="inlineStr">
        <is>
          <t>Line total
£</t>
        </is>
      </c>
      <c r="L6" s="9" t="inlineStr">
        <is>
          <t>Notes</t>
        </is>
      </c>
    </row>
    <row r="7">
      <c r="A7" s="30" t="inlineStr">
        <is>
          <t>1A  In-situ concrete to ICF wall cores (NRM2 11 / package FRM)</t>
        </is>
      </c>
    </row>
    <row r="8" ht="39" customHeight="1">
      <c r="B8" s="34" t="inlineStr">
        <is>
          <t>Ready-mixed concrete placed by pump into Nudura ICF formwork, 152.4 mm (6") core. Mix to the structural engineer's design (typically C25/30, 10 mm max aggregate, S4 slump - confirm). Quantities are net volumes from the model: each wall element envelope x its core band, less opening end caps, lintels and porch-steel pockets. Whole building (both plots poured as one structure on the shared party wall) - per-plot columns not applicable.</t>
        </is>
      </c>
    </row>
    <row r="9" ht="26" customHeight="1">
      <c r="A9" s="10" t="inlineStr">
        <is>
          <t>1A.1</t>
        </is>
      </c>
      <c r="B9" s="10" t="inlineStr">
        <is>
          <t>Concrete core: Foundation ICF (FB), 2 courses to GF FFL</t>
        </is>
      </c>
      <c r="C9" s="10" t="inlineStr">
        <is>
          <t>m3</t>
        </is>
      </c>
      <c r="D9" s="35" t="n"/>
      <c r="E9" s="35" t="n"/>
      <c r="F9" s="35" t="n">
        <v>10.43</v>
      </c>
      <c r="G9" s="36" t="n"/>
      <c r="H9" s="36" t="n"/>
      <c r="I9" s="11">
        <f>F9*G9</f>
        <v/>
      </c>
      <c r="J9" s="11">
        <f>F9*H9</f>
        <v/>
      </c>
      <c r="K9" s="37">
        <f>I9+J9</f>
        <v/>
      </c>
      <c r="L9" s="38" t="inlineStr">
        <is>
          <t>Order guide +5% = 11.0 m3; 2 x 6 m3 loads; 1 pump day</t>
        </is>
      </c>
    </row>
    <row r="10" ht="26" customHeight="1">
      <c r="A10" s="10" t="inlineStr">
        <is>
          <t>1A.2</t>
        </is>
      </c>
      <c r="B10" s="10" t="inlineStr">
        <is>
          <t>Concrete core: Ground floor walls (L1) to 2,743, incl. stair enclosure and porch lobby</t>
        </is>
      </c>
      <c r="C10" s="10" t="inlineStr">
        <is>
          <t>m3</t>
        </is>
      </c>
      <c r="D10" s="35" t="n"/>
      <c r="E10" s="35" t="n"/>
      <c r="F10" s="35" t="n">
        <v>25.45</v>
      </c>
      <c r="G10" s="36" t="n"/>
      <c r="H10" s="36" t="n"/>
      <c r="I10" s="11">
        <f>F10*G10</f>
        <v/>
      </c>
      <c r="J10" s="11">
        <f>F10*H10</f>
        <v/>
      </c>
      <c r="K10" s="37">
        <f>I10+J10</f>
        <v/>
      </c>
      <c r="L10" s="38" t="inlineStr">
        <is>
          <t>Order guide +5% = 26.7 m3; 5 x 6 m3 loads; 1 pump day</t>
        </is>
      </c>
    </row>
    <row r="11" ht="26" customHeight="1">
      <c r="A11" s="10" t="inlineStr">
        <is>
          <t>1A.3</t>
        </is>
      </c>
      <c r="B11" s="10" t="inlineStr">
        <is>
          <t>Concrete core: First floor walls (L2) to eaves 5,250, gables to roof line, party wall to rafter line</t>
        </is>
      </c>
      <c r="C11" s="10" t="inlineStr">
        <is>
          <t>m3</t>
        </is>
      </c>
      <c r="D11" s="35" t="n"/>
      <c r="E11" s="35" t="n"/>
      <c r="F11" s="35" t="n">
        <v>26.36</v>
      </c>
      <c r="G11" s="36" t="n"/>
      <c r="H11" s="36" t="n"/>
      <c r="I11" s="11">
        <f>F11*G11</f>
        <v/>
      </c>
      <c r="J11" s="11">
        <f>F11*H11</f>
        <v/>
      </c>
      <c r="K11" s="37">
        <f>I11+J11</f>
        <v/>
      </c>
      <c r="L11" s="38" t="inlineStr">
        <is>
          <t>Order guide +5% = 27.7 m3; 5 x 6 m3 loads; 1 pump day</t>
        </is>
      </c>
    </row>
    <row r="12">
      <c r="A12" s="30" t="inlineStr">
        <is>
          <t>1B  Reinforcement and associated items (to engineer's design - not measured)</t>
        </is>
      </c>
    </row>
    <row r="13" ht="39" customHeight="1">
      <c r="A13" s="10" t="inlineStr">
        <is>
          <t>1B.1</t>
        </is>
      </c>
      <c r="B13" s="10" t="inlineStr">
        <is>
          <t>Steel reinforcement to ICF wall cores, bars/links/laps to the structural engineer's schedule</t>
        </is>
      </c>
      <c r="C13" s="10" t="inlineStr">
        <is>
          <t>item</t>
        </is>
      </c>
      <c r="D13" s="35" t="n"/>
      <c r="E13" s="35" t="n"/>
      <c r="F13" s="35" t="n"/>
      <c r="G13" s="36" t="n"/>
      <c r="H13" s="36" t="n"/>
      <c r="I13" s="11">
        <f>IF(ISNUMBER(F13),F13,1)*G13</f>
        <v/>
      </c>
      <c r="J13" s="11">
        <f>IF(ISNUMBER(F13),F13,1)*H13</f>
        <v/>
      </c>
      <c r="K13" s="37">
        <f>I13+J13</f>
        <v/>
      </c>
      <c r="L13" s="38" t="inlineStr">
        <is>
          <t>Lump sum - the rate entered is the amount. Not measured - no engineer's design at quotation stage</t>
        </is>
      </c>
    </row>
    <row r="14" ht="26" customHeight="1">
      <c r="A14" s="10" t="inlineStr">
        <is>
          <t>1B.2</t>
        </is>
      </c>
      <c r="B14" s="10" t="inlineStr">
        <is>
          <t>Concrete pump hire, set-up and line (one visit per pour level, 3 levels)</t>
        </is>
      </c>
      <c r="C14" s="10" t="inlineStr">
        <is>
          <t>item</t>
        </is>
      </c>
      <c r="D14" s="35" t="n"/>
      <c r="E14" s="35" t="n"/>
      <c r="F14" s="35" t="n"/>
      <c r="G14" s="36" t="n"/>
      <c r="H14" s="36" t="n"/>
      <c r="I14" s="11">
        <f>IF(ISNUMBER(F14),F14,1)*G14</f>
        <v/>
      </c>
      <c r="J14" s="11">
        <f>IF(ISNUMBER(F14),F14,1)*H14</f>
        <v/>
      </c>
      <c r="K14" s="37">
        <f>I14+J14</f>
        <v/>
      </c>
      <c r="L14" s="38" t="inlineStr">
        <is>
          <t>Lump sum - the rate entered is the amount. Guide: 60 m3 per pump per day; 3 pump visits</t>
        </is>
      </c>
    </row>
    <row r="16" ht="20" customHeight="1">
      <c r="A16" s="23" t="inlineStr">
        <is>
          <t>PACKAGE SUMMARY  -  Bill 1  Substructure &amp; Frame - ICF Concrete Core  (package FRM; amounts by others, excl. VAT)</t>
        </is>
      </c>
    </row>
    <row r="17" ht="28" customHeight="1">
      <c r="A17" s="9" t="inlineStr">
        <is>
          <t>Section</t>
        </is>
      </c>
      <c r="B17" s="9" t="inlineStr">
        <is>
          <t>Description</t>
        </is>
      </c>
      <c r="C17" s="26" t="n"/>
      <c r="D17" s="26" t="n"/>
      <c r="E17" s="26" t="n"/>
      <c r="F17" s="26" t="n"/>
      <c r="G17" s="26" t="n"/>
      <c r="H17" s="27" t="n"/>
      <c r="I17" s="9" t="inlineStr">
        <is>
          <t>Supply
£</t>
        </is>
      </c>
      <c r="J17" s="9" t="inlineStr">
        <is>
          <t>Install
£</t>
        </is>
      </c>
      <c r="K17" s="9" t="inlineStr">
        <is>
          <t>Total
£</t>
        </is>
      </c>
      <c r="L17" s="9" t="inlineStr"/>
    </row>
    <row r="18" ht="16" customHeight="1">
      <c r="A18" s="39" t="inlineStr">
        <is>
          <t>1A</t>
        </is>
      </c>
      <c r="B18" s="10" t="inlineStr">
        <is>
          <t>In-situ concrete to ICF wall cores (NRM2 11 / package FRM)</t>
        </is>
      </c>
      <c r="C18" s="16" t="n"/>
      <c r="D18" s="16" t="n"/>
      <c r="E18" s="16" t="n"/>
      <c r="F18" s="16" t="n"/>
      <c r="G18" s="16" t="n"/>
      <c r="H18" s="16" t="n"/>
      <c r="I18" s="11">
        <f>SUM(I8:I11)</f>
        <v/>
      </c>
      <c r="J18" s="11">
        <f>SUM(J8:J11)</f>
        <v/>
      </c>
      <c r="K18" s="37">
        <f>SUM(K8:K11)</f>
        <v/>
      </c>
    </row>
    <row r="19" ht="16" customHeight="1">
      <c r="A19" s="39" t="inlineStr">
        <is>
          <t>1B</t>
        </is>
      </c>
      <c r="B19" s="10" t="inlineStr">
        <is>
          <t>Reinforcement and associated items (to engineer's design - not measured)</t>
        </is>
      </c>
      <c r="C19" s="16" t="n"/>
      <c r="D19" s="16" t="n"/>
      <c r="E19" s="16" t="n"/>
      <c r="F19" s="16" t="n"/>
      <c r="G19" s="16" t="n"/>
      <c r="H19" s="16" t="n"/>
      <c r="I19" s="11">
        <f>SUM(I13:I14)</f>
        <v/>
      </c>
      <c r="J19" s="11">
        <f>SUM(J13:J14)</f>
        <v/>
      </c>
      <c r="K19" s="37">
        <f>SUM(K13:K14)</f>
        <v/>
      </c>
    </row>
    <row r="20" ht="20" customHeight="1">
      <c r="A20" s="40" t="inlineStr">
        <is>
          <t>PACKAGE TOTAL - Bill 1, carried to the Cover overview</t>
        </is>
      </c>
      <c r="I20" s="13">
        <f>SUM(I18:I19)</f>
        <v/>
      </c>
      <c r="J20" s="13">
        <f>SUM(J18:J19)</f>
        <v/>
      </c>
      <c r="K20" s="13">
        <f>SUM(K18:K19)</f>
        <v/>
      </c>
    </row>
    <row r="21" ht="24" customHeight="1">
      <c r="A21" s="21" t="inlineStr">
        <is>
          <t>Pale-yellow cells are the only inputs (Supply rate, Install rate). Amounts, subtotals and totals are formulas; the sheet is protected without a password (Review &gt; Unprotect Sheet). Amounts exclude VAT and are NOT part of the Nudura ICF price.</t>
        </is>
      </c>
    </row>
  </sheetData>
  <sheetProtection selectLockedCells="0" selectUnlockedCells="0" sheet="1" objects="0" insertRows="1" insertHyperlinks="1" autoFilter="1" scenarios="0" formatColumns="0" deleteColumns="1" insertColumns="1" pivotTables="1" deleteRows="1" formatCells="1" formatRows="0" sort="1"/>
  <mergeCells count="12">
    <mergeCell ref="A16:L16"/>
    <mergeCell ref="A21:L21"/>
    <mergeCell ref="A7:L7"/>
    <mergeCell ref="B17:H17"/>
    <mergeCell ref="B18:H18"/>
    <mergeCell ref="B19:H19"/>
    <mergeCell ref="A20:H20"/>
    <mergeCell ref="C2:L2"/>
    <mergeCell ref="C1:L1"/>
    <mergeCell ref="A12:L12"/>
    <mergeCell ref="A4:L4"/>
    <mergeCell ref="B8:L8"/>
  </mergeCells>
  <printOptions horizontalCentered="1"/>
  <pageMargins left="0.75" right="0.75" top="0.7" bottom="0.75" header="0.5" footer="0.5"/>
  <pageSetup orientation="landscape" paperSize="9" fitToHeight="0" fitToWidth="1"/>
  <headerFooter>
    <oddHeader>&amp;L&amp;8 BuildEase  |  ES26-081 Lon Eilian, Caernarfon  |  Beech Developments&amp;R&amp;8 Bill of Quantities Package - Ancillary Trades - Issue 01</oddHeader>
    <oddFooter>&amp;L&amp;7 &amp;KC98A1BSupplied in good faith for guidance only. NOT part of the Nudura ICF price. Check and verify with the appropriate professional before use. No waste unless stated.&amp;R&amp;8 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L40"/>
  <sheetViews>
    <sheetView showGridLines="0" workbookViewId="0">
      <pane ySplit="6" topLeftCell="A7" activePane="bottomLeft" state="frozen"/>
      <selection pane="bottomLeft" activeCell="A1" sqref="A1"/>
    </sheetView>
  </sheetViews>
  <sheetFormatPr baseColWidth="8" defaultRowHeight="15"/>
  <cols>
    <col width="8" customWidth="1" min="1" max="1"/>
    <col width="56" customWidth="1" min="2" max="2"/>
    <col width="6" customWidth="1" min="3" max="3"/>
    <col width="10" customWidth="1" min="4" max="4"/>
    <col width="10" customWidth="1" min="5" max="5"/>
    <col width="10" customWidth="1" min="6" max="6"/>
    <col width="11" customWidth="1" min="7" max="7"/>
    <col width="11" customWidth="1" min="8" max="8"/>
    <col width="13" customWidth="1" min="9" max="9"/>
    <col width="13" customWidth="1" min="10" max="10"/>
    <col width="14" customWidth="1" min="11" max="11"/>
    <col width="42" customWidth="1" min="12" max="12"/>
  </cols>
  <sheetData>
    <row r="1" ht="22" customHeight="1">
      <c r="C1" s="1" t="inlineStr">
        <is>
          <t>Bill 2 - External Wall Finishes - Render, Brick Slips &amp; Beads</t>
        </is>
      </c>
    </row>
    <row r="2" ht="26" customHeight="1">
      <c r="C2" s="33" t="inlineStr">
        <is>
          <t>Finishes applied to the outer face of the ICF walls, measured net of openings from the drawn elevations.  [NRM2 21, 28 / package CLD]</t>
        </is>
      </c>
    </row>
    <row r="3" ht="4" customHeight="1">
      <c r="A3" s="3" t="n"/>
      <c r="B3" s="3" t="n"/>
      <c r="C3" s="3" t="n"/>
      <c r="D3" s="3" t="n"/>
      <c r="E3" s="3" t="n"/>
      <c r="F3" s="3" t="n"/>
      <c r="G3" s="3" t="n"/>
      <c r="H3" s="3" t="n"/>
      <c r="I3" s="3" t="n"/>
      <c r="J3" s="3" t="n"/>
      <c r="K3" s="3" t="n"/>
      <c r="L3" s="3" t="n"/>
    </row>
    <row r="4" ht="48" customHeight="1">
      <c r="A4" s="4"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quotation model and drawings; no allowance for waste is included unless stated. Plot C/D is the handed mirror of Plot A/B; quantities match except Bill 6. Rates and amounts are by others.</t>
        </is>
      </c>
    </row>
    <row r="6" ht="28" customHeight="1">
      <c r="A6" s="9" t="inlineStr">
        <is>
          <t>Ref</t>
        </is>
      </c>
      <c r="B6" s="9" t="inlineStr">
        <is>
          <t>Description</t>
        </is>
      </c>
      <c r="C6" s="9" t="inlineStr">
        <is>
          <t>Unit</t>
        </is>
      </c>
      <c r="D6" s="9" t="inlineStr">
        <is>
          <t>Plot A/B</t>
        </is>
      </c>
      <c r="E6" s="9" t="inlineStr">
        <is>
          <t>Plot C/D</t>
        </is>
      </c>
      <c r="F6" s="9" t="inlineStr">
        <is>
          <t>Total qty</t>
        </is>
      </c>
      <c r="G6" s="9" t="inlineStr">
        <is>
          <t>Supply rate
£</t>
        </is>
      </c>
      <c r="H6" s="9" t="inlineStr">
        <is>
          <t>Install rate
£</t>
        </is>
      </c>
      <c r="I6" s="9" t="inlineStr">
        <is>
          <t>Supply
£</t>
        </is>
      </c>
      <c r="J6" s="9" t="inlineStr">
        <is>
          <t>Install
£</t>
        </is>
      </c>
      <c r="K6" s="9" t="inlineStr">
        <is>
          <t>Line total
£</t>
        </is>
      </c>
      <c r="L6" s="9" t="inlineStr">
        <is>
          <t>Notes</t>
        </is>
      </c>
    </row>
    <row r="7">
      <c r="A7" s="30" t="inlineStr">
        <is>
          <t>2A  Thin-coat render system over ICF (NRM2 28 / package CLD)</t>
        </is>
      </c>
    </row>
    <row r="8" ht="26" customHeight="1">
      <c r="B8" s="34" t="inlineStr">
        <is>
          <t>Dryvit direct-applied finish over the ICF EPS face: rasp/level EPS, Dryvit Genesis (or Primus) base coat with Dryvit Standard Mesh, Dryvit primer and textured finish (e.g. Sandpebble / Quarzputz), approx. 10 mm. Measured net of openings as drawn; build-up to be confirmed with Dryvit / Tremco technical for the ICF substrate.</t>
        </is>
      </c>
    </row>
    <row r="9" ht="15" customHeight="1">
      <c r="A9" s="10" t="inlineStr">
        <is>
          <t>2A.1</t>
        </is>
      </c>
      <c r="B9" s="10" t="inlineStr">
        <is>
          <t>Render to walls: Front (main + stair-lobby front) elevation</t>
        </is>
      </c>
      <c r="C9" s="10" t="inlineStr">
        <is>
          <t>m2</t>
        </is>
      </c>
      <c r="D9" s="35" t="n">
        <v>16.295</v>
      </c>
      <c r="E9" s="35" t="n">
        <v>16.295</v>
      </c>
      <c r="F9" s="35">
        <f>D9+E9</f>
        <v/>
      </c>
      <c r="G9" s="36" t="n"/>
      <c r="H9" s="36" t="n"/>
      <c r="I9" s="11">
        <f>F9*G9</f>
        <v/>
      </c>
      <c r="J9" s="11">
        <f>F9*H9</f>
        <v/>
      </c>
      <c r="K9" s="37">
        <f>I9+J9</f>
        <v/>
      </c>
      <c r="L9" s="38" t="inlineStr">
        <is>
          <t>Order guide +10% = 35.9</t>
        </is>
      </c>
    </row>
    <row r="10" ht="15" customHeight="1">
      <c r="A10" s="10" t="inlineStr">
        <is>
          <t>2A.2</t>
        </is>
      </c>
      <c r="B10" s="10" t="inlineStr">
        <is>
          <t>Render to walls: Rear elevation</t>
        </is>
      </c>
      <c r="C10" s="10" t="inlineStr">
        <is>
          <t>m2</t>
        </is>
      </c>
      <c r="D10" s="35" t="n">
        <v>33.213</v>
      </c>
      <c r="E10" s="35" t="n">
        <v>33.213</v>
      </c>
      <c r="F10" s="35">
        <f>D10+E10</f>
        <v/>
      </c>
      <c r="G10" s="36" t="n"/>
      <c r="H10" s="36" t="n"/>
      <c r="I10" s="11">
        <f>F10*G10</f>
        <v/>
      </c>
      <c r="J10" s="11">
        <f>F10*H10</f>
        <v/>
      </c>
      <c r="K10" s="37">
        <f>I10+J10</f>
        <v/>
      </c>
      <c r="L10" s="38" t="inlineStr">
        <is>
          <t>Order guide +10% = 73.1</t>
        </is>
      </c>
    </row>
    <row r="11" ht="15" customHeight="1">
      <c r="A11" s="10" t="inlineStr">
        <is>
          <t>2A.3</t>
        </is>
      </c>
      <c r="B11" s="10" t="inlineStr">
        <is>
          <t>Render to walls: Gable (side) elevation</t>
        </is>
      </c>
      <c r="C11" s="10" t="inlineStr">
        <is>
          <t>m2</t>
        </is>
      </c>
      <c r="D11" s="35" t="n">
        <v>24.671</v>
      </c>
      <c r="E11" s="35" t="n">
        <v>24.671</v>
      </c>
      <c r="F11" s="35">
        <f>D11+E11</f>
        <v/>
      </c>
      <c r="G11" s="36" t="n"/>
      <c r="H11" s="36" t="n"/>
      <c r="I11" s="11">
        <f>F11*G11</f>
        <v/>
      </c>
      <c r="J11" s="11">
        <f>F11*H11</f>
        <v/>
      </c>
      <c r="K11" s="37">
        <f>I11+J11</f>
        <v/>
      </c>
      <c r="L11" s="38" t="inlineStr">
        <is>
          <t>Order guide +10% = 54.3</t>
        </is>
      </c>
    </row>
    <row r="12" ht="15" customHeight="1">
      <c r="A12" s="10" t="inlineStr">
        <is>
          <t>2A.4</t>
        </is>
      </c>
      <c r="B12" s="10" t="inlineStr">
        <is>
          <t>Render to reveal returns, jambs and heads, 129 mm girth</t>
        </is>
      </c>
      <c r="C12" s="10" t="inlineStr">
        <is>
          <t>m2</t>
        </is>
      </c>
      <c r="D12" s="35" t="n">
        <v>5.125</v>
      </c>
      <c r="E12" s="35" t="n">
        <v>5.125</v>
      </c>
      <c r="F12" s="35">
        <f>D12+E12</f>
        <v/>
      </c>
      <c r="G12" s="36" t="n"/>
      <c r="H12" s="36" t="n"/>
      <c r="I12" s="11">
        <f>F12*G12</f>
        <v/>
      </c>
      <c r="J12" s="11">
        <f>F12*H12</f>
        <v/>
      </c>
      <c r="K12" s="37">
        <f>I12+J12</f>
        <v/>
      </c>
      <c r="L12" s="38" t="inlineStr">
        <is>
          <t>Order guide +10% = 11.3</t>
        </is>
      </c>
    </row>
    <row r="13">
      <c r="A13" s="30" t="inlineStr">
        <is>
          <t>2B  Brick slip system over ICF (NRM2 21 / package CLD)</t>
        </is>
      </c>
    </row>
    <row r="14" ht="13" customHeight="1">
      <c r="B14" s="34" t="inlineStr">
        <is>
          <t>Monolith brick slip system, adhesive-fixed slips on reinforced base coat over the ICF EPS (or rail / board fixed). Product and fixing to be confirmed with Monolith.</t>
        </is>
      </c>
    </row>
    <row r="15" ht="26" customHeight="1">
      <c r="A15" s="10" t="inlineStr">
        <is>
          <t>2B.1</t>
        </is>
      </c>
      <c r="B15" s="10" t="inlineStr">
        <is>
          <t>Brick slips to walls: Front (main + stair-lobby front) elevation</t>
        </is>
      </c>
      <c r="C15" s="10" t="inlineStr">
        <is>
          <t>m2</t>
        </is>
      </c>
      <c r="D15" s="35" t="n">
        <v>18.221</v>
      </c>
      <c r="E15" s="35" t="n">
        <v>18.221</v>
      </c>
      <c r="F15" s="35">
        <f>D15+E15</f>
        <v/>
      </c>
      <c r="G15" s="36" t="n"/>
      <c r="H15" s="36" t="n"/>
      <c r="I15" s="11">
        <f>F15*G15</f>
        <v/>
      </c>
      <c r="J15" s="11">
        <f>F15*H15</f>
        <v/>
      </c>
      <c r="K15" s="37">
        <f>I15+J15</f>
        <v/>
      </c>
      <c r="L15" s="38" t="inlineStr">
        <is>
          <t>Order guide +10% = 40.1</t>
        </is>
      </c>
    </row>
    <row r="16" ht="15" customHeight="1">
      <c r="A16" s="10" t="inlineStr">
        <is>
          <t>2B.2</t>
        </is>
      </c>
      <c r="B16" s="10" t="inlineStr">
        <is>
          <t>Brick slips to walls: Rear elevation</t>
        </is>
      </c>
      <c r="C16" s="10" t="inlineStr">
        <is>
          <t>m2</t>
        </is>
      </c>
      <c r="D16" s="35" t="n">
        <v>6.947</v>
      </c>
      <c r="E16" s="35" t="n">
        <v>6.947</v>
      </c>
      <c r="F16" s="35">
        <f>D16+E16</f>
        <v/>
      </c>
      <c r="G16" s="36" t="n"/>
      <c r="H16" s="36" t="n"/>
      <c r="I16" s="11">
        <f>F16*G16</f>
        <v/>
      </c>
      <c r="J16" s="11">
        <f>F16*H16</f>
        <v/>
      </c>
      <c r="K16" s="37">
        <f>I16+J16</f>
        <v/>
      </c>
      <c r="L16" s="38" t="inlineStr">
        <is>
          <t>Order guide +10% = 15.3</t>
        </is>
      </c>
    </row>
    <row r="17" ht="15" customHeight="1">
      <c r="A17" s="10" t="inlineStr">
        <is>
          <t>2B.3</t>
        </is>
      </c>
      <c r="B17" s="10" t="inlineStr">
        <is>
          <t>Brick slips to walls: Gable (side) elevation</t>
        </is>
      </c>
      <c r="C17" s="10" t="inlineStr">
        <is>
          <t>m2</t>
        </is>
      </c>
      <c r="D17" s="35" t="n">
        <v>18.473</v>
      </c>
      <c r="E17" s="35" t="n">
        <v>18.473</v>
      </c>
      <c r="F17" s="35">
        <f>D17+E17</f>
        <v/>
      </c>
      <c r="G17" s="36" t="n"/>
      <c r="H17" s="36" t="n"/>
      <c r="I17" s="11">
        <f>F17*G17</f>
        <v/>
      </c>
      <c r="J17" s="11">
        <f>F17*H17</f>
        <v/>
      </c>
      <c r="K17" s="37">
        <f>I17+J17</f>
        <v/>
      </c>
      <c r="L17" s="38" t="inlineStr">
        <is>
          <t>Order guide +10% = 40.6</t>
        </is>
      </c>
    </row>
    <row r="18" ht="26" customHeight="1">
      <c r="A18" s="10" t="inlineStr">
        <is>
          <t>2B.4</t>
        </is>
      </c>
      <c r="B18" s="10" t="inlineStr">
        <is>
          <t>Brick slips to walls: Stair-lobby side wall (porch, site side elev.) elevation</t>
        </is>
      </c>
      <c r="C18" s="10" t="inlineStr">
        <is>
          <t>m2</t>
        </is>
      </c>
      <c r="D18" s="35" t="n">
        <v>3.829</v>
      </c>
      <c r="E18" s="35" t="n">
        <v>3.829</v>
      </c>
      <c r="F18" s="35">
        <f>D18+E18</f>
        <v/>
      </c>
      <c r="G18" s="36" t="n"/>
      <c r="H18" s="36" t="n"/>
      <c r="I18" s="11">
        <f>F18*G18</f>
        <v/>
      </c>
      <c r="J18" s="11">
        <f>F18*H18</f>
        <v/>
      </c>
      <c r="K18" s="37">
        <f>I18+J18</f>
        <v/>
      </c>
      <c r="L18" s="38" t="inlineStr">
        <is>
          <t>Order guide +10% = 8.4; trapezoid from site side elevation (not on 0007)</t>
        </is>
      </c>
    </row>
    <row r="19" ht="26" customHeight="1">
      <c r="A19" s="10" t="inlineStr">
        <is>
          <t>2B.5</t>
        </is>
      </c>
      <c r="B19" s="10" t="inlineStr">
        <is>
          <t>Brick slips to reveal returns, jambs and heads, 144 mm girth</t>
        </is>
      </c>
      <c r="C19" s="10" t="inlineStr">
        <is>
          <t>m2</t>
        </is>
      </c>
      <c r="D19" s="35" t="n">
        <v>3.285</v>
      </c>
      <c r="E19" s="35" t="n">
        <v>3.285</v>
      </c>
      <c r="F19" s="35">
        <f>D19+E19</f>
        <v/>
      </c>
      <c r="G19" s="36" t="n"/>
      <c r="H19" s="36" t="n"/>
      <c r="I19" s="11">
        <f>F19*G19</f>
        <v/>
      </c>
      <c r="J19" s="11">
        <f>F19*H19</f>
        <v/>
      </c>
      <c r="K19" s="37">
        <f>I19+J19</f>
        <v/>
      </c>
      <c r="L19" s="38" t="inlineStr">
        <is>
          <t>Order guide +10% = 7.2</t>
        </is>
      </c>
    </row>
    <row r="20" ht="15" customHeight="1">
      <c r="A20" s="10" t="inlineStr">
        <is>
          <t>2B.6</t>
        </is>
      </c>
      <c r="B20" s="10" t="inlineStr">
        <is>
          <t>Brick slip corner slips, building corners</t>
        </is>
      </c>
      <c r="C20" s="10" t="inlineStr">
        <is>
          <t>m</t>
        </is>
      </c>
      <c r="D20" s="35" t="n">
        <v>7.57</v>
      </c>
      <c r="E20" s="35" t="n">
        <v>7.57</v>
      </c>
      <c r="F20" s="35">
        <f>D20+E20</f>
        <v/>
      </c>
      <c r="G20" s="36" t="n"/>
      <c r="H20" s="36" t="n"/>
      <c r="I20" s="11">
        <f>F20*G20</f>
        <v/>
      </c>
      <c r="J20" s="11">
        <f>F20*H20</f>
        <v/>
      </c>
      <c r="K20" s="37">
        <f>I20+J20</f>
        <v/>
      </c>
      <c r="L20" s="38" t="inlineStr">
        <is>
          <t>Order guide +5% = 15.9</t>
        </is>
      </c>
    </row>
    <row r="21" ht="26" customHeight="1">
      <c r="A21" s="10" t="inlineStr">
        <is>
          <t>2B.7</t>
        </is>
      </c>
      <c r="B21" s="10" t="inlineStr">
        <is>
          <t>Brick slip corner slips, reveals jambs and heads in slip zones</t>
        </is>
      </c>
      <c r="C21" s="10" t="inlineStr">
        <is>
          <t>m</t>
        </is>
      </c>
      <c r="D21" s="35" t="n">
        <v>22.89</v>
      </c>
      <c r="E21" s="35" t="n">
        <v>22.89</v>
      </c>
      <c r="F21" s="35">
        <f>D21+E21</f>
        <v/>
      </c>
      <c r="G21" s="36" t="n"/>
      <c r="H21" s="36" t="n"/>
      <c r="I21" s="11">
        <f>F21*G21</f>
        <v/>
      </c>
      <c r="J21" s="11">
        <f>F21*H21</f>
        <v/>
      </c>
      <c r="K21" s="37">
        <f>I21+J21</f>
        <v/>
      </c>
      <c r="L21" s="38" t="inlineStr">
        <is>
          <t>Order guide +5% = 48.1</t>
        </is>
      </c>
    </row>
    <row r="22" ht="15" customHeight="1">
      <c r="A22" s="10" t="inlineStr">
        <is>
          <t>2B.8</t>
        </is>
      </c>
      <c r="B22" s="10" t="inlineStr">
        <is>
          <t>Brick slip base support / starter</t>
        </is>
      </c>
      <c r="C22" s="10" t="inlineStr">
        <is>
          <t>m</t>
        </is>
      </c>
      <c r="D22" s="35" t="n">
        <v>40.111</v>
      </c>
      <c r="E22" s="35" t="n">
        <v>40.111</v>
      </c>
      <c r="F22" s="35">
        <f>D22+E22</f>
        <v/>
      </c>
      <c r="G22" s="36" t="n"/>
      <c r="H22" s="36" t="n"/>
      <c r="I22" s="11">
        <f>F22*G22</f>
        <v/>
      </c>
      <c r="J22" s="11">
        <f>F22*H22</f>
        <v/>
      </c>
      <c r="K22" s="37">
        <f>I22+J22</f>
        <v/>
      </c>
      <c r="L22" s="38" t="inlineStr">
        <is>
          <t>Order guide +10% = 88.2</t>
        </is>
      </c>
    </row>
    <row r="23">
      <c r="A23" s="30" t="inlineStr">
        <is>
          <t>2C  Render beads and trims (NRM2 28 / package CLD)</t>
        </is>
      </c>
    </row>
    <row r="24" ht="15" customHeight="1">
      <c r="A24" s="10" t="inlineStr">
        <is>
          <t>2C.1</t>
        </is>
      </c>
      <c r="B24" s="10" t="inlineStr">
        <is>
          <t>Render base / starter track</t>
        </is>
      </c>
      <c r="C24" s="10" t="inlineStr">
        <is>
          <t>m</t>
        </is>
      </c>
      <c r="D24" s="35" t="n">
        <v>15.72</v>
      </c>
      <c r="E24" s="35" t="n">
        <v>15.72</v>
      </c>
      <c r="F24" s="35">
        <f>D24+E24</f>
        <v/>
      </c>
      <c r="G24" s="36" t="n"/>
      <c r="H24" s="36" t="n"/>
      <c r="I24" s="11">
        <f>F24*G24</f>
        <v/>
      </c>
      <c r="J24" s="11">
        <f>F24*H24</f>
        <v/>
      </c>
      <c r="K24" s="37">
        <f>I24+J24</f>
        <v/>
      </c>
      <c r="L24" s="38" t="inlineStr">
        <is>
          <t>Order guide +10% = 34.6</t>
        </is>
      </c>
    </row>
    <row r="25" ht="15" customHeight="1">
      <c r="A25" s="10" t="inlineStr">
        <is>
          <t>2C.2</t>
        </is>
      </c>
      <c r="B25" s="10" t="inlineStr">
        <is>
          <t>Render stop bead at render / slip junction</t>
        </is>
      </c>
      <c r="C25" s="10" t="inlineStr">
        <is>
          <t>m</t>
        </is>
      </c>
      <c r="D25" s="35" t="n">
        <v>37.75</v>
      </c>
      <c r="E25" s="35" t="n">
        <v>37.75</v>
      </c>
      <c r="F25" s="35">
        <f>D25+E25</f>
        <v/>
      </c>
      <c r="G25" s="36" t="n"/>
      <c r="H25" s="36" t="n"/>
      <c r="I25" s="11">
        <f>F25*G25</f>
        <v/>
      </c>
      <c r="J25" s="11">
        <f>F25*H25</f>
        <v/>
      </c>
      <c r="K25" s="37">
        <f>I25+J25</f>
        <v/>
      </c>
      <c r="L25" s="38" t="inlineStr">
        <is>
          <t>Order guide +10% = 83.1</t>
        </is>
      </c>
    </row>
    <row r="26" ht="15" customHeight="1">
      <c r="A26" s="10" t="inlineStr">
        <is>
          <t>2C.3</t>
        </is>
      </c>
      <c r="B26" s="10" t="inlineStr">
        <is>
          <t>Render stop bead under eaves / verge / lean-to</t>
        </is>
      </c>
      <c r="C26" s="10" t="inlineStr">
        <is>
          <t>m</t>
        </is>
      </c>
      <c r="D26" s="35" t="n">
        <v>29.14</v>
      </c>
      <c r="E26" s="35" t="n">
        <v>29.14</v>
      </c>
      <c r="F26" s="35">
        <f>D26+E26</f>
        <v/>
      </c>
      <c r="G26" s="36" t="n"/>
      <c r="H26" s="36" t="n"/>
      <c r="I26" s="11">
        <f>F26*G26</f>
        <v/>
      </c>
      <c r="J26" s="11">
        <f>F26*H26</f>
        <v/>
      </c>
      <c r="K26" s="37">
        <f>I26+J26</f>
        <v/>
      </c>
      <c r="L26" s="38" t="inlineStr">
        <is>
          <t>Order guide +10% = 64.1</t>
        </is>
      </c>
    </row>
    <row r="27" ht="15" customHeight="1">
      <c r="A27" s="10" t="inlineStr">
        <is>
          <t>2C.4</t>
        </is>
      </c>
      <c r="B27" s="10" t="inlineStr">
        <is>
          <t>Render stop bead, other edges</t>
        </is>
      </c>
      <c r="C27" s="10" t="inlineStr">
        <is>
          <t>m</t>
        </is>
      </c>
      <c r="D27" s="35" t="n">
        <v>14.62</v>
      </c>
      <c r="E27" s="35" t="n">
        <v>14.62</v>
      </c>
      <c r="F27" s="35">
        <f>D27+E27</f>
        <v/>
      </c>
      <c r="G27" s="36" t="n"/>
      <c r="H27" s="36" t="n"/>
      <c r="I27" s="11">
        <f>F27*G27</f>
        <v/>
      </c>
      <c r="J27" s="11">
        <f>F27*H27</f>
        <v/>
      </c>
      <c r="K27" s="37">
        <f>I27+J27</f>
        <v/>
      </c>
      <c r="L27" s="38" t="inlineStr">
        <is>
          <t>Order guide +10% = 32.2</t>
        </is>
      </c>
    </row>
    <row r="28" ht="15" customHeight="1">
      <c r="A28" s="10" t="inlineStr">
        <is>
          <t>2C.5</t>
        </is>
      </c>
      <c r="B28" s="10" t="inlineStr">
        <is>
          <t>Render external corner bead</t>
        </is>
      </c>
      <c r="C28" s="10" t="inlineStr">
        <is>
          <t>m</t>
        </is>
      </c>
      <c r="D28" s="35" t="n">
        <v>5.1</v>
      </c>
      <c r="E28" s="35" t="n">
        <v>5.1</v>
      </c>
      <c r="F28" s="35">
        <f>D28+E28</f>
        <v/>
      </c>
      <c r="G28" s="36" t="n"/>
      <c r="H28" s="36" t="n"/>
      <c r="I28" s="11">
        <f>F28*G28</f>
        <v/>
      </c>
      <c r="J28" s="11">
        <f>F28*H28</f>
        <v/>
      </c>
      <c r="K28" s="37">
        <f>I28+J28</f>
        <v/>
      </c>
      <c r="L28" s="38" t="inlineStr">
        <is>
          <t>Order guide +10% = 11.2</t>
        </is>
      </c>
    </row>
    <row r="29" ht="15" customHeight="1">
      <c r="A29" s="10" t="inlineStr">
        <is>
          <t>2C.6</t>
        </is>
      </c>
      <c r="B29" s="10" t="inlineStr">
        <is>
          <t>Render reveal bead, jambs and heads in render</t>
        </is>
      </c>
      <c r="C29" s="10" t="inlineStr">
        <is>
          <t>m</t>
        </is>
      </c>
      <c r="D29" s="35" t="n">
        <v>39.87</v>
      </c>
      <c r="E29" s="35" t="n">
        <v>39.87</v>
      </c>
      <c r="F29" s="35">
        <f>D29+E29</f>
        <v/>
      </c>
      <c r="G29" s="36" t="n"/>
      <c r="H29" s="36" t="n"/>
      <c r="I29" s="11">
        <f>F29*G29</f>
        <v/>
      </c>
      <c r="J29" s="11">
        <f>F29*H29</f>
        <v/>
      </c>
      <c r="K29" s="37">
        <f>I29+J29</f>
        <v/>
      </c>
      <c r="L29" s="38" t="inlineStr">
        <is>
          <t>Order guide +10% = 87.7</t>
        </is>
      </c>
    </row>
    <row r="30">
      <c r="A30" s="30" t="inlineStr">
        <is>
          <t>2D  Coordination items (supply by others)</t>
        </is>
      </c>
    </row>
    <row r="31" ht="26" customHeight="1">
      <c r="A31" s="10" t="inlineStr">
        <is>
          <t>2D.1</t>
        </is>
      </c>
      <c r="B31" s="10" t="inlineStr">
        <is>
          <t>External window cills, measured at window width (for coordination with the window package)</t>
        </is>
      </c>
      <c r="C31" s="10" t="inlineStr">
        <is>
          <t>m</t>
        </is>
      </c>
      <c r="D31" s="35" t="n">
        <v>14.24</v>
      </c>
      <c r="E31" s="35" t="n">
        <v>14.24</v>
      </c>
      <c r="F31" s="35">
        <f>D31+E31</f>
        <v/>
      </c>
      <c r="G31" s="36" t="n"/>
      <c r="H31" s="36" t="n"/>
      <c r="I31" s="11">
        <f>F31*G31</f>
        <v/>
      </c>
      <c r="J31" s="11">
        <f>F31*H31</f>
        <v/>
      </c>
      <c r="K31" s="37">
        <f>I31+J31</f>
        <v/>
      </c>
      <c r="L31" s="38" t="inlineStr">
        <is>
          <t>By window supplier - quantity for coordination only</t>
        </is>
      </c>
    </row>
    <row r="33" ht="20" customHeight="1">
      <c r="A33" s="23" t="inlineStr">
        <is>
          <t>PACKAGE SUMMARY  -  Bill 2  External Wall Finishes - Render, Brick Slips &amp; Beads  (package CLD; amounts by others, excl. VAT)</t>
        </is>
      </c>
    </row>
    <row r="34" ht="28" customHeight="1">
      <c r="A34" s="9" t="inlineStr">
        <is>
          <t>Section</t>
        </is>
      </c>
      <c r="B34" s="9" t="inlineStr">
        <is>
          <t>Description</t>
        </is>
      </c>
      <c r="C34" s="26" t="n"/>
      <c r="D34" s="26" t="n"/>
      <c r="E34" s="26" t="n"/>
      <c r="F34" s="26" t="n"/>
      <c r="G34" s="26" t="n"/>
      <c r="H34" s="27" t="n"/>
      <c r="I34" s="9" t="inlineStr">
        <is>
          <t>Supply
£</t>
        </is>
      </c>
      <c r="J34" s="9" t="inlineStr">
        <is>
          <t>Install
£</t>
        </is>
      </c>
      <c r="K34" s="9" t="inlineStr">
        <is>
          <t>Total
£</t>
        </is>
      </c>
      <c r="L34" s="9" t="inlineStr"/>
    </row>
    <row r="35" ht="16" customHeight="1">
      <c r="A35" s="39" t="inlineStr">
        <is>
          <t>2A</t>
        </is>
      </c>
      <c r="B35" s="10" t="inlineStr">
        <is>
          <t>Thin-coat render system over ICF (NRM2 28 / package CLD)</t>
        </is>
      </c>
      <c r="C35" s="16" t="n"/>
      <c r="D35" s="16" t="n"/>
      <c r="E35" s="16" t="n"/>
      <c r="F35" s="16" t="n"/>
      <c r="G35" s="16" t="n"/>
      <c r="H35" s="16" t="n"/>
      <c r="I35" s="11">
        <f>SUM(I8:I12)</f>
        <v/>
      </c>
      <c r="J35" s="11">
        <f>SUM(J8:J12)</f>
        <v/>
      </c>
      <c r="K35" s="37">
        <f>SUM(K8:K12)</f>
        <v/>
      </c>
    </row>
    <row r="36" ht="16" customHeight="1">
      <c r="A36" s="39" t="inlineStr">
        <is>
          <t>2B</t>
        </is>
      </c>
      <c r="B36" s="10" t="inlineStr">
        <is>
          <t>Brick slip system over ICF (NRM2 21 / package CLD)</t>
        </is>
      </c>
      <c r="C36" s="16" t="n"/>
      <c r="D36" s="16" t="n"/>
      <c r="E36" s="16" t="n"/>
      <c r="F36" s="16" t="n"/>
      <c r="G36" s="16" t="n"/>
      <c r="H36" s="16" t="n"/>
      <c r="I36" s="11">
        <f>SUM(I14:I22)</f>
        <v/>
      </c>
      <c r="J36" s="11">
        <f>SUM(J14:J22)</f>
        <v/>
      </c>
      <c r="K36" s="37">
        <f>SUM(K14:K22)</f>
        <v/>
      </c>
    </row>
    <row r="37" ht="16" customHeight="1">
      <c r="A37" s="39" t="inlineStr">
        <is>
          <t>2C</t>
        </is>
      </c>
      <c r="B37" s="10" t="inlineStr">
        <is>
          <t>Render beads and trims (NRM2 28 / package CLD)</t>
        </is>
      </c>
      <c r="C37" s="16" t="n"/>
      <c r="D37" s="16" t="n"/>
      <c r="E37" s="16" t="n"/>
      <c r="F37" s="16" t="n"/>
      <c r="G37" s="16" t="n"/>
      <c r="H37" s="16" t="n"/>
      <c r="I37" s="11">
        <f>SUM(I24:I29)</f>
        <v/>
      </c>
      <c r="J37" s="11">
        <f>SUM(J24:J29)</f>
        <v/>
      </c>
      <c r="K37" s="37">
        <f>SUM(K24:K29)</f>
        <v/>
      </c>
    </row>
    <row r="38" ht="16" customHeight="1">
      <c r="A38" s="39" t="inlineStr">
        <is>
          <t>2D</t>
        </is>
      </c>
      <c r="B38" s="10" t="inlineStr">
        <is>
          <t>Coordination items (supply by others)</t>
        </is>
      </c>
      <c r="C38" s="16" t="n"/>
      <c r="D38" s="16" t="n"/>
      <c r="E38" s="16" t="n"/>
      <c r="F38" s="16" t="n"/>
      <c r="G38" s="16" t="n"/>
      <c r="H38" s="16" t="n"/>
      <c r="I38" s="11">
        <f>SUM(I31:I31)</f>
        <v/>
      </c>
      <c r="J38" s="11">
        <f>SUM(J31:J31)</f>
        <v/>
      </c>
      <c r="K38" s="37">
        <f>SUM(K31:K31)</f>
        <v/>
      </c>
    </row>
    <row r="39" ht="20" customHeight="1">
      <c r="A39" s="40" t="inlineStr">
        <is>
          <t>PACKAGE TOTAL - Bill 2, carried to the Cover overview</t>
        </is>
      </c>
      <c r="I39" s="13">
        <f>SUM(I35:I38)</f>
        <v/>
      </c>
      <c r="J39" s="13">
        <f>SUM(J35:J38)</f>
        <v/>
      </c>
      <c r="K39" s="13">
        <f>SUM(K35:K38)</f>
        <v/>
      </c>
    </row>
    <row r="40" ht="24" customHeight="1">
      <c r="A40" s="21" t="inlineStr">
        <is>
          <t>Pale-yellow cells are the only inputs (Supply rate, Install rate). Amounts, subtotals and totals are formulas; the sheet is protected without a password (Review &gt; Unprotect Sheet). Amounts exclude VAT and are NOT part of the Nudura ICF price.</t>
        </is>
      </c>
    </row>
  </sheetData>
  <sheetProtection selectLockedCells="0" selectUnlockedCells="0" sheet="1" objects="0" insertRows="1" insertHyperlinks="1" autoFilter="1" scenarios="0" formatColumns="0" deleteColumns="1" insertColumns="1" pivotTables="1" deleteRows="1" formatCells="1" formatRows="0" sort="1"/>
  <mergeCells count="17">
    <mergeCell ref="A30:L30"/>
    <mergeCell ref="B36:H36"/>
    <mergeCell ref="A7:L7"/>
    <mergeCell ref="A39:H39"/>
    <mergeCell ref="A33:L33"/>
    <mergeCell ref="B35:H35"/>
    <mergeCell ref="A23:L23"/>
    <mergeCell ref="A13:L13"/>
    <mergeCell ref="B38:H38"/>
    <mergeCell ref="A40:L40"/>
    <mergeCell ref="B37:H37"/>
    <mergeCell ref="B14:L14"/>
    <mergeCell ref="C2:L2"/>
    <mergeCell ref="B34:H34"/>
    <mergeCell ref="C1:L1"/>
    <mergeCell ref="A4:L4"/>
    <mergeCell ref="B8:L8"/>
  </mergeCells>
  <printOptions horizontalCentered="1"/>
  <pageMargins left="0.75" right="0.75" top="0.7" bottom="0.75" header="0.5" footer="0.5"/>
  <pageSetup orientation="landscape" paperSize="9" fitToHeight="0" fitToWidth="1"/>
  <headerFooter>
    <oddHeader>&amp;L&amp;8 BuildEase  |  ES26-081 Lon Eilian, Caernarfon  |  Beech Developments&amp;R&amp;8 Bill of Quantities Package - Ancillary Trades - Issue 01</oddHeader>
    <oddFooter>&amp;L&amp;7 &amp;KC98A1BSupplied in good faith for guidance only. NOT part of the Nudura ICF price. Check and verify with the appropriate professional before use. No waste unless stated.&amp;R&amp;8 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L43"/>
  <sheetViews>
    <sheetView showGridLines="0" workbookViewId="0">
      <pane ySplit="6" topLeftCell="A7" activePane="bottomLeft" state="frozen"/>
      <selection pane="bottomLeft" activeCell="A1" sqref="A1"/>
    </sheetView>
  </sheetViews>
  <sheetFormatPr baseColWidth="8" defaultRowHeight="15"/>
  <cols>
    <col width="8" customWidth="1" min="1" max="1"/>
    <col width="56" customWidth="1" min="2" max="2"/>
    <col width="6" customWidth="1" min="3" max="3"/>
    <col width="10" customWidth="1" min="4" max="4"/>
    <col width="10" customWidth="1" min="5" max="5"/>
    <col width="10" customWidth="1" min="6" max="6"/>
    <col width="11" customWidth="1" min="7" max="7"/>
    <col width="11" customWidth="1" min="8" max="8"/>
    <col width="13" customWidth="1" min="9" max="9"/>
    <col width="13" customWidth="1" min="10" max="10"/>
    <col width="14" customWidth="1" min="11" max="11"/>
    <col width="42" customWidth="1" min="12" max="12"/>
  </cols>
  <sheetData>
    <row r="1" ht="22" customHeight="1">
      <c r="C1" s="1" t="inlineStr">
        <is>
          <t>Bill 3 - Internal Linings - Plasterboard, Tape, Beads &amp; Skim</t>
        </is>
      </c>
    </row>
    <row r="2" ht="26" customHeight="1">
      <c r="C2" s="33" t="inlineStr">
        <is>
          <t>Dry linings to the inside faces of the ICF walls, partitions, ceilings and reveals.  [NRM2 28 / package DRY]</t>
        </is>
      </c>
    </row>
    <row r="3" ht="4" customHeight="1">
      <c r="A3" s="3" t="n"/>
      <c r="B3" s="3" t="n"/>
      <c r="C3" s="3" t="n"/>
      <c r="D3" s="3" t="n"/>
      <c r="E3" s="3" t="n"/>
      <c r="F3" s="3" t="n"/>
      <c r="G3" s="3" t="n"/>
      <c r="H3" s="3" t="n"/>
      <c r="I3" s="3" t="n"/>
      <c r="J3" s="3" t="n"/>
      <c r="K3" s="3" t="n"/>
      <c r="L3" s="3" t="n"/>
    </row>
    <row r="4" ht="48" customHeight="1">
      <c r="A4" s="4"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quotation model and drawings; no allowance for waste is included unless stated. Plot C/D is the handed mirror of Plot A/B; quantities match except Bill 6. Rates and amounts are by others.</t>
        </is>
      </c>
    </row>
    <row r="6" ht="28" customHeight="1">
      <c r="A6" s="9" t="inlineStr">
        <is>
          <t>Ref</t>
        </is>
      </c>
      <c r="B6" s="9" t="inlineStr">
        <is>
          <t>Description</t>
        </is>
      </c>
      <c r="C6" s="9" t="inlineStr">
        <is>
          <t>Unit</t>
        </is>
      </c>
      <c r="D6" s="9" t="inlineStr">
        <is>
          <t>Plot A/B</t>
        </is>
      </c>
      <c r="E6" s="9" t="inlineStr">
        <is>
          <t>Plot C/D</t>
        </is>
      </c>
      <c r="F6" s="9" t="inlineStr">
        <is>
          <t>Total qty</t>
        </is>
      </c>
      <c r="G6" s="9" t="inlineStr">
        <is>
          <t>Supply rate
£</t>
        </is>
      </c>
      <c r="H6" s="9" t="inlineStr">
        <is>
          <t>Install rate
£</t>
        </is>
      </c>
      <c r="I6" s="9" t="inlineStr">
        <is>
          <t>Supply
£</t>
        </is>
      </c>
      <c r="J6" s="9" t="inlineStr">
        <is>
          <t>Install
£</t>
        </is>
      </c>
      <c r="K6" s="9" t="inlineStr">
        <is>
          <t>Line total
£</t>
        </is>
      </c>
      <c r="L6" s="9" t="inlineStr">
        <is>
          <t>Notes</t>
        </is>
      </c>
    </row>
    <row r="7">
      <c r="A7" s="30" t="inlineStr">
        <is>
          <t>3A  Plasterboard wall linings (NRM2 28 / package DRY)</t>
        </is>
      </c>
    </row>
    <row r="8" ht="26" customHeight="1">
      <c r="B8" s="34" t="inlineStr">
        <is>
          <t>Measured net (openings deducted) on the finished faces, per plot (GF flat + FF flat). Floor zone 2,575-2,850 excluded except the stair-well band. Board types are proposals - confirm with the board supplier; ICF faces need mechanical fixings.</t>
        </is>
      </c>
    </row>
    <row r="9" ht="39" customHeight="1">
      <c r="A9" s="10" t="inlineStr">
        <is>
          <t>3A.1</t>
        </is>
      </c>
      <c r="B9" s="10" t="inlineStr">
        <is>
          <t>GF external walls - internal face (ICF): 12.5 mm wallboard, screw-fixed to ICF web strips / dabs + mech. fixings (MR board in bathroom)</t>
        </is>
      </c>
      <c r="C9" s="10" t="inlineStr">
        <is>
          <t>m2</t>
        </is>
      </c>
      <c r="D9" s="35" t="n">
        <v>47.416</v>
      </c>
      <c r="E9" s="35" t="n">
        <v>47.416</v>
      </c>
      <c r="F9" s="35">
        <f>D9+E9</f>
        <v/>
      </c>
      <c r="G9" s="36" t="n"/>
      <c r="H9" s="36" t="n"/>
      <c r="I9" s="11">
        <f>F9*G9</f>
        <v/>
      </c>
      <c r="J9" s="11">
        <f>F9*H9</f>
        <v/>
      </c>
      <c r="K9" s="37">
        <f>I9+J9</f>
        <v/>
      </c>
      <c r="L9" s="38" t="inlineStr">
        <is>
          <t>perimeter 23.89 m x 2.575 m; excludes floor zone 2,575-2,850; layers 1</t>
        </is>
      </c>
    </row>
    <row r="10" ht="26" customHeight="1">
      <c r="A10" s="10" t="inlineStr">
        <is>
          <t>3A.2</t>
        </is>
      </c>
      <c r="B10" s="10" t="inlineStr">
        <is>
          <t>GF party wall - this flat side: 15 mm fire-rated (Type F) board on dabs/battens</t>
        </is>
      </c>
      <c r="C10" s="10" t="inlineStr">
        <is>
          <t>m2</t>
        </is>
      </c>
      <c r="D10" s="35" t="n">
        <v>18.617</v>
      </c>
      <c r="E10" s="35" t="n">
        <v>18.617</v>
      </c>
      <c r="F10" s="35">
        <f>D10+E10</f>
        <v/>
      </c>
      <c r="G10" s="36" t="n"/>
      <c r="H10" s="36" t="n"/>
      <c r="I10" s="11">
        <f>F10*G10</f>
        <v/>
      </c>
      <c r="J10" s="11">
        <f>F10*H10</f>
        <v/>
      </c>
      <c r="K10" s="37">
        <f>I10+J10</f>
        <v/>
      </c>
      <c r="L10" s="38" t="inlineStr">
        <is>
          <t>7.23 m x 2.575; layers 1</t>
        </is>
      </c>
    </row>
    <row r="11" ht="26" customHeight="1">
      <c r="A11" s="10" t="inlineStr">
        <is>
          <t>3A.3</t>
        </is>
      </c>
      <c r="B11" s="10" t="inlineStr">
        <is>
          <t>GF stair-enclosure walls (6in Std) - both faces: 15 mm fire-rated (Type F) board</t>
        </is>
      </c>
      <c r="C11" s="10" t="inlineStr">
        <is>
          <t>m2</t>
        </is>
      </c>
      <c r="D11" s="35" t="n">
        <v>28.098</v>
      </c>
      <c r="E11" s="35" t="n">
        <v>28.098</v>
      </c>
      <c r="F11" s="35">
        <f>D11+E11</f>
        <v/>
      </c>
      <c r="G11" s="36" t="n"/>
      <c r="H11" s="36" t="n"/>
      <c r="I11" s="11">
        <f>F11*G11</f>
        <v/>
      </c>
      <c r="J11" s="11">
        <f>F11*H11</f>
        <v/>
      </c>
      <c r="K11" s="37">
        <f>I11+J11</f>
        <v/>
      </c>
      <c r="L11" s="38" t="inlineStr">
        <is>
          <t>12.38 m (all room faces) x 2.575; W_c door deducted both faces; layers 1</t>
        </is>
      </c>
    </row>
    <row r="12" ht="26" customHeight="1">
      <c r="A12" s="10" t="inlineStr">
        <is>
          <t>3A.4</t>
        </is>
      </c>
      <c r="B12" s="10" t="inlineStr">
        <is>
          <t>GF timber partitions - both faces: 15 mm board on 38x89 studs (per LE_partitions build-up); MR in bathroom</t>
        </is>
      </c>
      <c r="C12" s="10" t="inlineStr">
        <is>
          <t>m2</t>
        </is>
      </c>
      <c r="D12" s="35" t="n">
        <v>67.78</v>
      </c>
      <c r="E12" s="35" t="n">
        <v>67.78</v>
      </c>
      <c r="F12" s="35">
        <f>D12+E12</f>
        <v/>
      </c>
      <c r="G12" s="36" t="n"/>
      <c r="H12" s="36" t="n"/>
      <c r="I12" s="11">
        <f>F12*G12</f>
        <v/>
      </c>
      <c r="J12" s="11">
        <f>F12*H12</f>
        <v/>
      </c>
      <c r="K12" s="37">
        <f>I12+J12</f>
        <v/>
      </c>
      <c r="L12" s="38" t="inlineStr">
        <is>
          <t>34.07 m of room faces x 2.575; layers 1</t>
        </is>
      </c>
    </row>
    <row r="13" ht="15" customHeight="1">
      <c r="A13" s="10" t="inlineStr">
        <is>
          <t>3A.5</t>
        </is>
      </c>
      <c r="B13" s="10" t="inlineStr">
        <is>
          <t>GF riser boxing - room face: 12.5 mm MR board on 38x47</t>
        </is>
      </c>
      <c r="C13" s="10" t="inlineStr">
        <is>
          <t>m2</t>
        </is>
      </c>
      <c r="D13" s="35" t="n">
        <v>2.575</v>
      </c>
      <c r="E13" s="35" t="n">
        <v>2.575</v>
      </c>
      <c r="F13" s="35">
        <f>D13+E13</f>
        <v/>
      </c>
      <c r="G13" s="36" t="n"/>
      <c r="H13" s="36" t="n"/>
      <c r="I13" s="11">
        <f>F13*G13</f>
        <v/>
      </c>
      <c r="J13" s="11">
        <f>F13*H13</f>
        <v/>
      </c>
      <c r="K13" s="37">
        <f>I13+J13</f>
        <v/>
      </c>
      <c r="L13" s="38" t="inlineStr">
        <is>
          <t>1.00 m x 2.575; layers 1</t>
        </is>
      </c>
    </row>
    <row r="14" ht="39" customHeight="1">
      <c r="A14" s="10" t="inlineStr">
        <is>
          <t>3A.6</t>
        </is>
      </c>
      <c r="B14" s="10" t="inlineStr">
        <is>
          <t>FF external walls - internal face (ICF): 12.5 mm wallboard, screw-fixed to ICF web strips / dabs + mech. fixings (MR board in bathroom)</t>
        </is>
      </c>
      <c r="C14" s="10" t="inlineStr">
        <is>
          <t>m2</t>
        </is>
      </c>
      <c r="D14" s="35" t="n">
        <v>45.297</v>
      </c>
      <c r="E14" s="35" t="n">
        <v>45.297</v>
      </c>
      <c r="F14" s="35">
        <f>D14+E14</f>
        <v/>
      </c>
      <c r="G14" s="36" t="n"/>
      <c r="H14" s="36" t="n"/>
      <c r="I14" s="11">
        <f>F14*G14</f>
        <v/>
      </c>
      <c r="J14" s="11">
        <f>F14*H14</f>
        <v/>
      </c>
      <c r="K14" s="37">
        <f>I14+J14</f>
        <v/>
      </c>
      <c r="L14" s="38" t="inlineStr">
        <is>
          <t>perimeter 22.21 m x 2.450 m; excludes floor zone 2,575-2,850; layers 1</t>
        </is>
      </c>
    </row>
    <row r="15" ht="26" customHeight="1">
      <c r="A15" s="10" t="inlineStr">
        <is>
          <t>3A.7</t>
        </is>
      </c>
      <c r="B15" s="10" t="inlineStr">
        <is>
          <t>FF party wall - this flat side: 15 mm fire-rated (Type F) board on dabs/battens</t>
        </is>
      </c>
      <c r="C15" s="10" t="inlineStr">
        <is>
          <t>m2</t>
        </is>
      </c>
      <c r="D15" s="35" t="n">
        <v>13.745</v>
      </c>
      <c r="E15" s="35" t="n">
        <v>13.745</v>
      </c>
      <c r="F15" s="35">
        <f>D15+E15</f>
        <v/>
      </c>
      <c r="G15" s="36" t="n"/>
      <c r="H15" s="36" t="n"/>
      <c r="I15" s="11">
        <f>F15*G15</f>
        <v/>
      </c>
      <c r="J15" s="11">
        <f>F15*H15</f>
        <v/>
      </c>
      <c r="K15" s="37">
        <f>I15+J15</f>
        <v/>
      </c>
      <c r="L15" s="38" t="inlineStr">
        <is>
          <t>5.61 m x 2.450; layers 1</t>
        </is>
      </c>
    </row>
    <row r="16" ht="26" customHeight="1">
      <c r="A16" s="10" t="inlineStr">
        <is>
          <t>3A.8</t>
        </is>
      </c>
      <c r="B16" s="10" t="inlineStr">
        <is>
          <t>FF stair-enclosure walls (6in Std) - both faces: 15 mm fire-rated (Type F) board</t>
        </is>
      </c>
      <c r="C16" s="10" t="inlineStr">
        <is>
          <t>m2</t>
        </is>
      </c>
      <c r="D16" s="35" t="n">
        <v>23.716</v>
      </c>
      <c r="E16" s="35" t="n">
        <v>23.716</v>
      </c>
      <c r="F16" s="35">
        <f>D16+E16</f>
        <v/>
      </c>
      <c r="G16" s="36" t="n"/>
      <c r="H16" s="36" t="n"/>
      <c r="I16" s="11">
        <f>F16*G16</f>
        <v/>
      </c>
      <c r="J16" s="11">
        <f>F16*H16</f>
        <v/>
      </c>
      <c r="K16" s="37">
        <f>I16+J16</f>
        <v/>
      </c>
      <c r="L16" s="38" t="inlineStr">
        <is>
          <t>9.68 m (all room faces) x 2.450; W_c door deducted both faces; layers 1</t>
        </is>
      </c>
    </row>
    <row r="17" ht="26" customHeight="1">
      <c r="A17" s="10" t="inlineStr">
        <is>
          <t>3A.9</t>
        </is>
      </c>
      <c r="B17" s="10" t="inlineStr">
        <is>
          <t>FF timber partitions - both faces: 15 mm board on 38x89 studs (per LE_partitions build-up); MR in bathroom</t>
        </is>
      </c>
      <c r="C17" s="10" t="inlineStr">
        <is>
          <t>m2</t>
        </is>
      </c>
      <c r="D17" s="35" t="n">
        <v>63.214</v>
      </c>
      <c r="E17" s="35" t="n">
        <v>63.214</v>
      </c>
      <c r="F17" s="35">
        <f>D17+E17</f>
        <v/>
      </c>
      <c r="G17" s="36" t="n"/>
      <c r="H17" s="36" t="n"/>
      <c r="I17" s="11">
        <f>F17*G17</f>
        <v/>
      </c>
      <c r="J17" s="11">
        <f>F17*H17</f>
        <v/>
      </c>
      <c r="K17" s="37">
        <f>I17+J17</f>
        <v/>
      </c>
      <c r="L17" s="38" t="inlineStr">
        <is>
          <t>34.99 m of room faces x 2.450; layers 1</t>
        </is>
      </c>
    </row>
    <row r="18" ht="15" customHeight="1">
      <c r="A18" s="10" t="inlineStr">
        <is>
          <t>3A.10</t>
        </is>
      </c>
      <c r="B18" s="10" t="inlineStr">
        <is>
          <t>FF riser boxing - room face: 12.5 mm MR board on 38x47</t>
        </is>
      </c>
      <c r="C18" s="10" t="inlineStr">
        <is>
          <t>m2</t>
        </is>
      </c>
      <c r="D18" s="35" t="n">
        <v>2.45</v>
      </c>
      <c r="E18" s="35" t="n">
        <v>2.45</v>
      </c>
      <c r="F18" s="35">
        <f>D18+E18</f>
        <v/>
      </c>
      <c r="G18" s="36" t="n"/>
      <c r="H18" s="36" t="n"/>
      <c r="I18" s="11">
        <f>F18*G18</f>
        <v/>
      </c>
      <c r="J18" s="11">
        <f>F18*H18</f>
        <v/>
      </c>
      <c r="K18" s="37">
        <f>I18+J18</f>
        <v/>
      </c>
      <c r="L18" s="38" t="inlineStr">
        <is>
          <t>1.00 m x 2.450; layers 1</t>
        </is>
      </c>
    </row>
    <row r="19" ht="26" customHeight="1">
      <c r="A19" s="10" t="inlineStr">
        <is>
          <t>3A.11</t>
        </is>
      </c>
      <c r="B19" s="10" t="inlineStr">
        <is>
          <t>Stair-well floor-zone band (2,575-2,850): 15 mm fire-rated board</t>
        </is>
      </c>
      <c r="C19" s="10" t="inlineStr">
        <is>
          <t>m2</t>
        </is>
      </c>
      <c r="D19" s="35" t="n">
        <v>1.273</v>
      </c>
      <c r="E19" s="35" t="n">
        <v>1.273</v>
      </c>
      <c r="F19" s="35">
        <f>D19+E19</f>
        <v/>
      </c>
      <c r="G19" s="36" t="n"/>
      <c r="H19" s="36" t="n"/>
      <c r="I19" s="11">
        <f>F19*G19</f>
        <v/>
      </c>
      <c r="J19" s="11">
        <f>F19*H19</f>
        <v/>
      </c>
      <c r="K19" s="37">
        <f>I19+J19</f>
        <v/>
      </c>
      <c r="L19" s="38" t="inlineStr">
        <is>
          <t>W_a + party + front faces of the void x 275; layers 1</t>
        </is>
      </c>
    </row>
    <row r="20" ht="26" customHeight="1">
      <c r="A20" s="10" t="inlineStr">
        <is>
          <t>3A.12</t>
        </is>
      </c>
      <c r="B20" s="10" t="inlineStr">
        <is>
          <t>Internal reveals (jambs + heads, ext. openings): 12.5 mm board / bonding + skim</t>
        </is>
      </c>
      <c r="C20" s="10" t="inlineStr">
        <is>
          <t>m2</t>
        </is>
      </c>
      <c r="D20" s="35" t="n">
        <v>12.211</v>
      </c>
      <c r="E20" s="35" t="n">
        <v>12.211</v>
      </c>
      <c r="F20" s="35">
        <f>D20+E20</f>
        <v/>
      </c>
      <c r="G20" s="36" t="n"/>
      <c r="H20" s="36" t="n"/>
      <c r="I20" s="11">
        <f>F20*G20</f>
        <v/>
      </c>
      <c r="J20" s="11">
        <f>F20*H20</f>
        <v/>
      </c>
      <c r="K20" s="37">
        <f>I20+J20</f>
        <v/>
      </c>
      <c r="L20" s="38" t="inlineStr">
        <is>
          <t>62.76 m x 195 mm; layers 1</t>
        </is>
      </c>
    </row>
    <row r="21">
      <c r="A21" s="30" t="inlineStr">
        <is>
          <t>3B  Plasterboard ceilings (NRM2 28 / package DRY)</t>
        </is>
      </c>
    </row>
    <row r="22" ht="13" customHeight="1">
      <c r="B22" s="34" t="inlineStr">
        <is>
          <t>GF ceiling is the separating floor between the GF and FF flats (60 min fire + acoustic, ADB / ADE): 2 layers. Quantities are net areas of ceiling; multiply by layers for board.</t>
        </is>
      </c>
    </row>
    <row r="23" ht="39" customHeight="1">
      <c r="A23" s="10" t="inlineStr">
        <is>
          <t>3B.1</t>
        </is>
      </c>
      <c r="B23" s="10" t="inlineStr">
        <is>
          <t>GF ceilings (u/s FF separating floor): 2 x 15 mm fire/acoustic board (e.g. SoundBloc/FireLine) on resilient bars - separating floor GF/FF flat</t>
        </is>
      </c>
      <c r="C23" s="10" t="inlineStr">
        <is>
          <t>m2</t>
        </is>
      </c>
      <c r="D23" s="35" t="n">
        <v>45.53</v>
      </c>
      <c r="E23" s="35" t="n">
        <v>45.53</v>
      </c>
      <c r="F23" s="35">
        <f>D23+E23</f>
        <v/>
      </c>
      <c r="G23" s="36" t="n"/>
      <c r="H23" s="36" t="n"/>
      <c r="I23" s="11">
        <f>F23*G23</f>
        <v/>
      </c>
      <c r="J23" s="11">
        <f>F23*H23</f>
        <v/>
      </c>
      <c r="K23" s="37">
        <f>I23+J23</f>
        <v/>
      </c>
      <c r="L23" s="38" t="inlineStr">
        <is>
          <t>GF flat rooms; stair foot is under the FF stair-well (in FF ceiling); layers 2 (board 182.1 m2)</t>
        </is>
      </c>
    </row>
    <row r="24" ht="26" customHeight="1">
      <c r="A24" s="10" t="inlineStr">
        <is>
          <t>3B.2</t>
        </is>
      </c>
      <c r="B24" s="10" t="inlineStr">
        <is>
          <t>GF store ceiling = stair soffit: 2 x 15 mm fire-rated (60 min soffit to FF flat stair over GF flat)</t>
        </is>
      </c>
      <c r="C24" s="10" t="inlineStr">
        <is>
          <t>m2</t>
        </is>
      </c>
      <c r="D24" s="35" t="n">
        <v>3.24</v>
      </c>
      <c r="E24" s="35" t="n">
        <v>3.24</v>
      </c>
      <c r="F24" s="35">
        <f>D24+E24</f>
        <v/>
      </c>
      <c r="G24" s="36" t="n"/>
      <c r="H24" s="36" t="n"/>
      <c r="I24" s="11">
        <f>F24*G24</f>
        <v/>
      </c>
      <c r="J24" s="11">
        <f>F24*H24</f>
        <v/>
      </c>
      <c r="K24" s="37">
        <f>I24+J24</f>
        <v/>
      </c>
      <c r="L24" s="38" t="inlineStr">
        <is>
          <t>plan area; layers 2 (board 13.0 m2)</t>
        </is>
      </c>
    </row>
    <row r="25" ht="26" customHeight="1">
      <c r="A25" s="10" t="inlineStr">
        <is>
          <t>3B.3</t>
        </is>
      </c>
      <c r="B25" s="10" t="inlineStr">
        <is>
          <t>GF stair-lobby ceiling (u/s lean-to): 12.5 mm board under lean-to rafters</t>
        </is>
      </c>
      <c r="C25" s="10" t="inlineStr">
        <is>
          <t>m2</t>
        </is>
      </c>
      <c r="D25" s="35" t="n">
        <v>2.094</v>
      </c>
      <c r="E25" s="35" t="n">
        <v>2.094</v>
      </c>
      <c r="F25" s="35">
        <f>D25+E25</f>
        <v/>
      </c>
      <c r="G25" s="36" t="n"/>
      <c r="H25" s="36" t="n"/>
      <c r="I25" s="11">
        <f>F25*G25</f>
        <v/>
      </c>
      <c r="J25" s="11">
        <f>F25*H25</f>
        <v/>
      </c>
      <c r="K25" s="37">
        <f>I25+J25</f>
        <v/>
      </c>
      <c r="L25" s="38" t="inlineStr">
        <is>
          <t>lobby 1,460 x 1,320 on slope 23 deg; layers 1 (board 4.2 m2)</t>
        </is>
      </c>
    </row>
    <row r="26" ht="26" customHeight="1">
      <c r="A26" s="10" t="inlineStr">
        <is>
          <t>3B.4</t>
        </is>
      </c>
      <c r="B26" s="10" t="inlineStr">
        <is>
          <t>FF ceilings (u/s trusses ~5,300): 12.5 mm board + VCL (15 mm Type F if BCO requires) under bottom chords</t>
        </is>
      </c>
      <c r="C26" s="10" t="inlineStr">
        <is>
          <t>m2</t>
        </is>
      </c>
      <c r="D26" s="35" t="n">
        <v>49.81</v>
      </c>
      <c r="E26" s="35" t="n">
        <v>49.81</v>
      </c>
      <c r="F26" s="35">
        <f>D26+E26</f>
        <v/>
      </c>
      <c r="G26" s="36" t="n"/>
      <c r="H26" s="36" t="n"/>
      <c r="I26" s="11">
        <f>F26*G26</f>
        <v/>
      </c>
      <c r="J26" s="11">
        <f>F26*H26</f>
        <v/>
      </c>
      <c r="K26" s="37">
        <f>I26+J26</f>
        <v/>
      </c>
      <c r="L26" s="38" t="inlineStr">
        <is>
          <t>incl. stair-well void area; layers 1 (board 99.6 m2)</t>
        </is>
      </c>
    </row>
    <row r="27">
      <c r="A27" s="30" t="inlineStr">
        <is>
          <t>3C  Jointing, beads and skim (NRM2 28 / package DRY)</t>
        </is>
      </c>
    </row>
    <row r="28" ht="15" customHeight="1">
      <c r="A28" s="10" t="inlineStr">
        <is>
          <t>3C.1</t>
        </is>
      </c>
      <c r="B28" s="10" t="inlineStr">
        <is>
          <t>Scrim tape, board joints</t>
        </is>
      </c>
      <c r="C28" s="10" t="inlineStr">
        <is>
          <t>m</t>
        </is>
      </c>
      <c r="D28" s="35" t="n">
        <v>397.835</v>
      </c>
      <c r="E28" s="35" t="n">
        <v>397.835</v>
      </c>
      <c r="F28" s="35">
        <f>D28+E28</f>
        <v/>
      </c>
      <c r="G28" s="36" t="n"/>
      <c r="H28" s="36" t="n"/>
      <c r="I28" s="11">
        <f>F28*G28</f>
        <v/>
      </c>
      <c r="J28" s="11">
        <f>F28*H28</f>
        <v/>
      </c>
      <c r="K28" s="37">
        <f>I28+J28</f>
        <v/>
      </c>
      <c r="L28" s="38" t="inlineStr">
        <is>
          <t>Order guide +10% = 875.2</t>
        </is>
      </c>
    </row>
    <row r="29" ht="15" customHeight="1">
      <c r="A29" s="10" t="inlineStr">
        <is>
          <t>3C.2</t>
        </is>
      </c>
      <c r="B29" s="10" t="inlineStr">
        <is>
          <t>Scrim tape, internal angles wall-wall</t>
        </is>
      </c>
      <c r="C29" s="10" t="inlineStr">
        <is>
          <t>m</t>
        </is>
      </c>
      <c r="D29" s="35" t="n">
        <v>183.6</v>
      </c>
      <c r="E29" s="35" t="n">
        <v>183.6</v>
      </c>
      <c r="F29" s="35">
        <f>D29+E29</f>
        <v/>
      </c>
      <c r="G29" s="36" t="n"/>
      <c r="H29" s="36" t="n"/>
      <c r="I29" s="11">
        <f>F29*G29</f>
        <v/>
      </c>
      <c r="J29" s="11">
        <f>F29*H29</f>
        <v/>
      </c>
      <c r="K29" s="37">
        <f>I29+J29</f>
        <v/>
      </c>
      <c r="L29" s="38" t="inlineStr">
        <is>
          <t>Order guide +10% = 403.9</t>
        </is>
      </c>
    </row>
    <row r="30" ht="15" customHeight="1">
      <c r="A30" s="10" t="inlineStr">
        <is>
          <t>3C.3</t>
        </is>
      </c>
      <c r="B30" s="10" t="inlineStr">
        <is>
          <t>Scrim tape, wall-ceiling angles</t>
        </is>
      </c>
      <c r="C30" s="10" t="inlineStr">
        <is>
          <t>m</t>
        </is>
      </c>
      <c r="D30" s="35" t="n">
        <v>152.01</v>
      </c>
      <c r="E30" s="35" t="n">
        <v>152.01</v>
      </c>
      <c r="F30" s="35">
        <f>D30+E30</f>
        <v/>
      </c>
      <c r="G30" s="36" t="n"/>
      <c r="H30" s="36" t="n"/>
      <c r="I30" s="11">
        <f>F30*G30</f>
        <v/>
      </c>
      <c r="J30" s="11">
        <f>F30*H30</f>
        <v/>
      </c>
      <c r="K30" s="37">
        <f>I30+J30</f>
        <v/>
      </c>
      <c r="L30" s="38" t="inlineStr">
        <is>
          <t>Order guide +10% = 334.4</t>
        </is>
      </c>
    </row>
    <row r="31" ht="15" customHeight="1">
      <c r="A31" s="10" t="inlineStr">
        <is>
          <t>3C.4</t>
        </is>
      </c>
      <c r="B31" s="10" t="inlineStr">
        <is>
          <t>Corner bead, external corners in rooms</t>
        </is>
      </c>
      <c r="C31" s="10" t="inlineStr">
        <is>
          <t>m</t>
        </is>
      </c>
      <c r="D31" s="35" t="n">
        <v>32.6</v>
      </c>
      <c r="E31" s="35" t="n">
        <v>32.6</v>
      </c>
      <c r="F31" s="35">
        <f>D31+E31</f>
        <v/>
      </c>
      <c r="G31" s="36" t="n"/>
      <c r="H31" s="36" t="n"/>
      <c r="I31" s="11">
        <f>F31*G31</f>
        <v/>
      </c>
      <c r="J31" s="11">
        <f>F31*H31</f>
        <v/>
      </c>
      <c r="K31" s="37">
        <f>I31+J31</f>
        <v/>
      </c>
      <c r="L31" s="38" t="inlineStr">
        <is>
          <t>Order guide +10% = 71.7</t>
        </is>
      </c>
    </row>
    <row r="32" ht="15" customHeight="1">
      <c r="A32" s="10" t="inlineStr">
        <is>
          <t>3C.5</t>
        </is>
      </c>
      <c r="B32" s="10" t="inlineStr">
        <is>
          <t>Corner bead, window/door reveals</t>
        </is>
      </c>
      <c r="C32" s="10" t="inlineStr">
        <is>
          <t>m</t>
        </is>
      </c>
      <c r="D32" s="35" t="n">
        <v>62.76</v>
      </c>
      <c r="E32" s="35" t="n">
        <v>62.76</v>
      </c>
      <c r="F32" s="35">
        <f>D32+E32</f>
        <v/>
      </c>
      <c r="G32" s="36" t="n"/>
      <c r="H32" s="36" t="n"/>
      <c r="I32" s="11">
        <f>F32*G32</f>
        <v/>
      </c>
      <c r="J32" s="11">
        <f>F32*H32</f>
        <v/>
      </c>
      <c r="K32" s="37">
        <f>I32+J32</f>
        <v/>
      </c>
      <c r="L32" s="38" t="inlineStr">
        <is>
          <t>Order guide +10% = 138.1</t>
        </is>
      </c>
    </row>
    <row r="33" ht="15" customHeight="1">
      <c r="A33" s="10" t="inlineStr">
        <is>
          <t>3C.6</t>
        </is>
      </c>
      <c r="B33" s="10" t="inlineStr">
        <is>
          <t>Skim coat; skim to all net wall, reveal and ceiling faces</t>
        </is>
      </c>
      <c r="C33" s="10" t="inlineStr">
        <is>
          <t>m2</t>
        </is>
      </c>
      <c r="D33" s="35" t="n">
        <v>427.065</v>
      </c>
      <c r="E33" s="35" t="n">
        <v>427.065</v>
      </c>
      <c r="F33" s="35">
        <f>D33+E33</f>
        <v/>
      </c>
      <c r="G33" s="36" t="n"/>
      <c r="H33" s="36" t="n"/>
      <c r="I33" s="11">
        <f>F33*G33</f>
        <v/>
      </c>
      <c r="J33" s="11">
        <f>F33*H33</f>
        <v/>
      </c>
      <c r="K33" s="37">
        <f>I33+J33</f>
        <v/>
      </c>
      <c r="L33" s="38" t="inlineStr">
        <is>
          <t>Face layer only</t>
        </is>
      </c>
    </row>
    <row r="34">
      <c r="A34" s="30" t="inlineStr">
        <is>
          <t>3D  Ordering guide (not a measured item)</t>
        </is>
      </c>
    </row>
    <row r="35" ht="26" customHeight="1">
      <c r="A35" s="41" t="inlineStr">
        <is>
          <t>3D.1</t>
        </is>
      </c>
      <c r="B35" s="41" t="inlineStr">
        <is>
          <t>Plasterboard to purchase, all types, including second ceiling layers, before waste</t>
        </is>
      </c>
      <c r="C35" s="41" t="inlineStr">
        <is>
          <t>m2</t>
        </is>
      </c>
      <c r="D35" s="42" t="n">
        <v>475.835</v>
      </c>
      <c r="E35" s="42" t="n">
        <v>475.835</v>
      </c>
      <c r="F35" s="42">
        <f>D35+E35</f>
        <v/>
      </c>
      <c r="G35" s="43" t="n"/>
      <c r="H35" s="43" t="n"/>
      <c r="I35" s="43" t="n"/>
      <c r="J35" s="43" t="n"/>
      <c r="K35" s="44" t="inlineStr">
        <is>
          <t>not priced</t>
        </is>
      </c>
      <c r="L35" s="45" t="inlineStr">
        <is>
          <t>Order guide +10% = 1,046.8 (guide only)</t>
        </is>
      </c>
    </row>
    <row r="37" ht="20" customHeight="1">
      <c r="A37" s="23" t="inlineStr">
        <is>
          <t>PACKAGE SUMMARY  -  Bill 3  Internal Linings - Plasterboard, Tape, Beads &amp; Skim  (package DRY; amounts by others, excl. VAT)</t>
        </is>
      </c>
    </row>
    <row r="38" ht="28" customHeight="1">
      <c r="A38" s="9" t="inlineStr">
        <is>
          <t>Section</t>
        </is>
      </c>
      <c r="B38" s="9" t="inlineStr">
        <is>
          <t>Description</t>
        </is>
      </c>
      <c r="C38" s="26" t="n"/>
      <c r="D38" s="26" t="n"/>
      <c r="E38" s="26" t="n"/>
      <c r="F38" s="26" t="n"/>
      <c r="G38" s="26" t="n"/>
      <c r="H38" s="27" t="n"/>
      <c r="I38" s="9" t="inlineStr">
        <is>
          <t>Supply
£</t>
        </is>
      </c>
      <c r="J38" s="9" t="inlineStr">
        <is>
          <t>Install
£</t>
        </is>
      </c>
      <c r="K38" s="9" t="inlineStr">
        <is>
          <t>Total
£</t>
        </is>
      </c>
      <c r="L38" s="9" t="inlineStr"/>
    </row>
    <row r="39" ht="16" customHeight="1">
      <c r="A39" s="39" t="inlineStr">
        <is>
          <t>3A</t>
        </is>
      </c>
      <c r="B39" s="10" t="inlineStr">
        <is>
          <t>Plasterboard wall linings (NRM2 28 / package DRY)</t>
        </is>
      </c>
      <c r="C39" s="16" t="n"/>
      <c r="D39" s="16" t="n"/>
      <c r="E39" s="16" t="n"/>
      <c r="F39" s="16" t="n"/>
      <c r="G39" s="16" t="n"/>
      <c r="H39" s="16" t="n"/>
      <c r="I39" s="11">
        <f>SUM(I8:I20)</f>
        <v/>
      </c>
      <c r="J39" s="11">
        <f>SUM(J8:J20)</f>
        <v/>
      </c>
      <c r="K39" s="37">
        <f>SUM(K8:K20)</f>
        <v/>
      </c>
    </row>
    <row r="40" ht="16" customHeight="1">
      <c r="A40" s="39" t="inlineStr">
        <is>
          <t>3B</t>
        </is>
      </c>
      <c r="B40" s="10" t="inlineStr">
        <is>
          <t>Plasterboard ceilings (NRM2 28 / package DRY)</t>
        </is>
      </c>
      <c r="C40" s="16" t="n"/>
      <c r="D40" s="16" t="n"/>
      <c r="E40" s="16" t="n"/>
      <c r="F40" s="16" t="n"/>
      <c r="G40" s="16" t="n"/>
      <c r="H40" s="16" t="n"/>
      <c r="I40" s="11">
        <f>SUM(I22:I26)</f>
        <v/>
      </c>
      <c r="J40" s="11">
        <f>SUM(J22:J26)</f>
        <v/>
      </c>
      <c r="K40" s="37">
        <f>SUM(K22:K26)</f>
        <v/>
      </c>
    </row>
    <row r="41" ht="16" customHeight="1">
      <c r="A41" s="39" t="inlineStr">
        <is>
          <t>3C</t>
        </is>
      </c>
      <c r="B41" s="10" t="inlineStr">
        <is>
          <t>Jointing, beads and skim (NRM2 28 / package DRY)</t>
        </is>
      </c>
      <c r="C41" s="16" t="n"/>
      <c r="D41" s="16" t="n"/>
      <c r="E41" s="16" t="n"/>
      <c r="F41" s="16" t="n"/>
      <c r="G41" s="16" t="n"/>
      <c r="H41" s="16" t="n"/>
      <c r="I41" s="11">
        <f>SUM(I28:I33)</f>
        <v/>
      </c>
      <c r="J41" s="11">
        <f>SUM(J28:J33)</f>
        <v/>
      </c>
      <c r="K41" s="37">
        <f>SUM(K28:K33)</f>
        <v/>
      </c>
    </row>
    <row r="42" ht="20" customHeight="1">
      <c r="A42" s="40" t="inlineStr">
        <is>
          <t>PACKAGE TOTAL - Bill 3, carried to the Cover overview</t>
        </is>
      </c>
      <c r="I42" s="13">
        <f>SUM(I39:I41)</f>
        <v/>
      </c>
      <c r="J42" s="13">
        <f>SUM(J39:J41)</f>
        <v/>
      </c>
      <c r="K42" s="13">
        <f>SUM(K39:K41)</f>
        <v/>
      </c>
    </row>
    <row r="43" ht="24" customHeight="1">
      <c r="A43" s="21" t="inlineStr">
        <is>
          <t>Pale-yellow cells are the only inputs (Supply rate, Install rate). Amounts, subtotals and totals are formulas; the sheet is protected without a password (Review &gt; Unprotect Sheet). Amounts exclude VAT and are NOT part of the Nudura ICF price.</t>
        </is>
      </c>
    </row>
  </sheetData>
  <sheetProtection selectLockedCells="0" selectUnlockedCells="0" sheet="1" objects="0" insertRows="1" insertHyperlinks="1" autoFilter="1" scenarios="0" formatColumns="0" deleteColumns="1" insertColumns="1" pivotTables="1" deleteRows="1" formatCells="1" formatRows="0" sort="1"/>
  <mergeCells count="16">
    <mergeCell ref="A27:L27"/>
    <mergeCell ref="A21:L21"/>
    <mergeCell ref="A7:L7"/>
    <mergeCell ref="B40:H40"/>
    <mergeCell ref="B41:H41"/>
    <mergeCell ref="A43:L43"/>
    <mergeCell ref="A37:L37"/>
    <mergeCell ref="A34:L34"/>
    <mergeCell ref="B39:H39"/>
    <mergeCell ref="A42:H42"/>
    <mergeCell ref="B38:H38"/>
    <mergeCell ref="B22:L22"/>
    <mergeCell ref="C2:L2"/>
    <mergeCell ref="C1:L1"/>
    <mergeCell ref="A4:L4"/>
    <mergeCell ref="B8:L8"/>
  </mergeCells>
  <printOptions horizontalCentered="1"/>
  <pageMargins left="0.75" right="0.75" top="0.7" bottom="0.75" header="0.5" footer="0.5"/>
  <pageSetup orientation="landscape" paperSize="9" fitToHeight="0" fitToWidth="1"/>
  <headerFooter>
    <oddHeader>&amp;L&amp;8 BuildEase  |  ES26-081 Lon Eilian, Caernarfon  |  Beech Developments&amp;R&amp;8 Bill of Quantities Package - Ancillary Trades - Issue 01</oddHeader>
    <oddFooter>&amp;L&amp;7 &amp;KC98A1BSupplied in good faith for guidance only. NOT part of the Nudura ICF price. Check and verify with the appropriate professional before use. No waste unless stated.&amp;R&amp;8 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L39"/>
  <sheetViews>
    <sheetView showGridLines="0" workbookViewId="0">
      <pane ySplit="6" topLeftCell="A7" activePane="bottomLeft" state="frozen"/>
      <selection pane="bottomLeft" activeCell="A1" sqref="A1"/>
    </sheetView>
  </sheetViews>
  <sheetFormatPr baseColWidth="8" defaultRowHeight="15"/>
  <cols>
    <col width="8" customWidth="1" min="1" max="1"/>
    <col width="56" customWidth="1" min="2" max="2"/>
    <col width="6" customWidth="1" min="3" max="3"/>
    <col width="10" customWidth="1" min="4" max="4"/>
    <col width="10" customWidth="1" min="5" max="5"/>
    <col width="10" customWidth="1" min="6" max="6"/>
    <col width="11" customWidth="1" min="7" max="7"/>
    <col width="11" customWidth="1" min="8" max="8"/>
    <col width="13" customWidth="1" min="9" max="9"/>
    <col width="13" customWidth="1" min="10" max="10"/>
    <col width="14" customWidth="1" min="11" max="11"/>
    <col width="42" customWidth="1" min="12" max="12"/>
  </cols>
  <sheetData>
    <row r="1" ht="22" customHeight="1">
      <c r="C1" s="1" t="inlineStr">
        <is>
          <t>Bill 4 - Internal Doors &amp; Ironmongery</t>
        </is>
      </c>
    </row>
    <row r="2" ht="26" customHeight="1">
      <c r="C2" s="33" t="inlineStr">
        <is>
          <t>Internal doorsets and ironmongery per plot; external doorsets listed for coordination only.  [NRM2 24 / package JOI]</t>
        </is>
      </c>
    </row>
    <row r="3" ht="4" customHeight="1">
      <c r="A3" s="3" t="n"/>
      <c r="B3" s="3" t="n"/>
      <c r="C3" s="3" t="n"/>
      <c r="D3" s="3" t="n"/>
      <c r="E3" s="3" t="n"/>
      <c r="F3" s="3" t="n"/>
      <c r="G3" s="3" t="n"/>
      <c r="H3" s="3" t="n"/>
      <c r="I3" s="3" t="n"/>
      <c r="J3" s="3" t="n"/>
      <c r="K3" s="3" t="n"/>
      <c r="L3" s="3" t="n"/>
    </row>
    <row r="4" ht="48" customHeight="1">
      <c r="A4" s="4"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quotation model and drawings; no allowance for waste is included unless stated. Plot C/D is the handed mirror of Plot A/B; quantities match except Bill 6. Rates and amounts are by others.</t>
        </is>
      </c>
    </row>
    <row r="6" ht="28" customHeight="1">
      <c r="A6" s="9" t="inlineStr">
        <is>
          <t>Ref</t>
        </is>
      </c>
      <c r="B6" s="9" t="inlineStr">
        <is>
          <t>Description</t>
        </is>
      </c>
      <c r="C6" s="9" t="inlineStr">
        <is>
          <t>Unit</t>
        </is>
      </c>
      <c r="D6" s="9" t="inlineStr">
        <is>
          <t>Plot A/B</t>
        </is>
      </c>
      <c r="E6" s="9" t="inlineStr">
        <is>
          <t>Plot C/D</t>
        </is>
      </c>
      <c r="F6" s="9" t="inlineStr">
        <is>
          <t>Total qty</t>
        </is>
      </c>
      <c r="G6" s="9" t="inlineStr">
        <is>
          <t>Supply rate
£</t>
        </is>
      </c>
      <c r="H6" s="9" t="inlineStr">
        <is>
          <t>Install rate
£</t>
        </is>
      </c>
      <c r="I6" s="9" t="inlineStr">
        <is>
          <t>Supply
£</t>
        </is>
      </c>
      <c r="J6" s="9" t="inlineStr">
        <is>
          <t>Install
£</t>
        </is>
      </c>
      <c r="K6" s="9" t="inlineStr">
        <is>
          <t>Line total
£</t>
        </is>
      </c>
      <c r="L6" s="9" t="inlineStr">
        <is>
          <t>Notes</t>
        </is>
      </c>
    </row>
    <row r="7">
      <c r="A7" s="30" t="inlineStr">
        <is>
          <t>4A  Internal doorsets (NRM2 24 / package JOI)</t>
        </is>
      </c>
    </row>
    <row r="8" ht="26" customHeight="1">
      <c r="B8" s="34" t="inlineStr">
        <is>
          <t>Leaves from the plan door gaps: 910 -&gt; 826 x 2040; 810 -&gt; 726; 610 -&gt; 526; 1,210 -&gt; pair (cupboard, confirm). Linings 32 mm x (wall + 13). Internal doors non-rated (FF floor below 4.5 m, ADB Vol 1) except the under-stair store door.</t>
        </is>
      </c>
    </row>
    <row r="9" ht="26" customHeight="1">
      <c r="A9" s="10" t="inlineStr">
        <is>
          <t>4A.1</t>
        </is>
      </c>
      <c r="B9" s="10" t="inlineStr">
        <is>
          <t>ID01 GF Hall / Bedroom 1: 1 x leaf 826 x 2040 x 35, 32 x 132 lining set (partition 119), non-rated</t>
        </is>
      </c>
      <c r="C9" s="10" t="inlineStr">
        <is>
          <t>nr</t>
        </is>
      </c>
      <c r="D9" s="35" t="n">
        <v>1</v>
      </c>
      <c r="E9" s="35" t="n">
        <v>1</v>
      </c>
      <c r="F9" s="35">
        <f>D9+E9</f>
        <v/>
      </c>
      <c r="G9" s="36" t="n"/>
      <c r="H9" s="36" t="n"/>
      <c r="I9" s="11">
        <f>F9*G9</f>
        <v/>
      </c>
      <c r="J9" s="11">
        <f>F9*H9</f>
        <v/>
      </c>
      <c r="K9" s="37">
        <f>I9+J9</f>
        <v/>
      </c>
      <c r="L9" s="38" t="inlineStr">
        <is>
          <t>Gap 910 mm; wall G1</t>
        </is>
      </c>
    </row>
    <row r="10" ht="26" customHeight="1">
      <c r="A10" s="10" t="inlineStr">
        <is>
          <t>4A.2</t>
        </is>
      </c>
      <c r="B10" s="10" t="inlineStr">
        <is>
          <t>ID02 GF Living/Kitchen / Hall: 1 x leaf 826 x 2040 x 35, 32 x 132 lining set (partition 119), non-rated</t>
        </is>
      </c>
      <c r="C10" s="10" t="inlineStr">
        <is>
          <t>nr</t>
        </is>
      </c>
      <c r="D10" s="35" t="n">
        <v>1</v>
      </c>
      <c r="E10" s="35" t="n">
        <v>1</v>
      </c>
      <c r="F10" s="35">
        <f>D10+E10</f>
        <v/>
      </c>
      <c r="G10" s="36" t="n"/>
      <c r="H10" s="36" t="n"/>
      <c r="I10" s="11">
        <f>F10*G10</f>
        <v/>
      </c>
      <c r="J10" s="11">
        <f>F10*H10</f>
        <v/>
      </c>
      <c r="K10" s="37">
        <f>I10+J10</f>
        <v/>
      </c>
      <c r="L10" s="38" t="inlineStr">
        <is>
          <t>Gap 910 mm; wall G2</t>
        </is>
      </c>
    </row>
    <row r="11" ht="26" customHeight="1">
      <c r="A11" s="10" t="inlineStr">
        <is>
          <t>4A.3</t>
        </is>
      </c>
      <c r="B11" s="10" t="inlineStr">
        <is>
          <t>ID03 GF Bathroom / Hall: 1 x leaf 826 x 2040 x 35, 32 x 132 lining set (partition 119), non-rated</t>
        </is>
      </c>
      <c r="C11" s="10" t="inlineStr">
        <is>
          <t>nr</t>
        </is>
      </c>
      <c r="D11" s="35" t="n">
        <v>1</v>
      </c>
      <c r="E11" s="35" t="n">
        <v>1</v>
      </c>
      <c r="F11" s="35">
        <f>D11+E11</f>
        <v/>
      </c>
      <c r="G11" s="36" t="n"/>
      <c r="H11" s="36" t="n"/>
      <c r="I11" s="11">
        <f>F11*G11</f>
        <v/>
      </c>
      <c r="J11" s="11">
        <f>F11*H11</f>
        <v/>
      </c>
      <c r="K11" s="37">
        <f>I11+J11</f>
        <v/>
      </c>
      <c r="L11" s="38" t="inlineStr">
        <is>
          <t>Gap 910 mm; wall G5</t>
        </is>
      </c>
    </row>
    <row r="12" ht="39" customHeight="1">
      <c r="A12" s="10" t="inlineStr">
        <is>
          <t>4A.4</t>
        </is>
      </c>
      <c r="B12" s="10" t="inlineStr">
        <is>
          <t>ID04 GF Hall / A/C / Laundry: 2 x leaf pair 2 x 533 x 1981 (or 2 x 526 x 2040), 32 x 132 lining set (partition 119), non-rated</t>
        </is>
      </c>
      <c r="C12" s="10" t="inlineStr">
        <is>
          <t>nr</t>
        </is>
      </c>
      <c r="D12" s="35" t="n">
        <v>1</v>
      </c>
      <c r="E12" s="35" t="n">
        <v>1</v>
      </c>
      <c r="F12" s="35">
        <f>D12+E12</f>
        <v/>
      </c>
      <c r="G12" s="36" t="n"/>
      <c r="H12" s="36" t="n"/>
      <c r="I12" s="11">
        <f>F12*G12</f>
        <v/>
      </c>
      <c r="J12" s="11">
        <f>F12*H12</f>
        <v/>
      </c>
      <c r="K12" s="37">
        <f>I12+J12</f>
        <v/>
      </c>
      <c r="L12" s="38" t="inlineStr">
        <is>
          <t>Gap 1210 mm; wall G6</t>
        </is>
      </c>
    </row>
    <row r="13" ht="39" customHeight="1">
      <c r="A13" s="10" t="inlineStr">
        <is>
          <t>4A.5</t>
        </is>
      </c>
      <c r="B13" s="10" t="inlineStr">
        <is>
          <t>ID05 GF Cupboard (G8/G9, unlabelled) / Living/Kitchen: 1 x leaf 726 x 2040 x 35, 32 x 132 lining set (partition 119), non-rated</t>
        </is>
      </c>
      <c r="C13" s="10" t="inlineStr">
        <is>
          <t>nr</t>
        </is>
      </c>
      <c r="D13" s="35" t="n">
        <v>1</v>
      </c>
      <c r="E13" s="35" t="n">
        <v>1</v>
      </c>
      <c r="F13" s="35">
        <f>D13+E13</f>
        <v/>
      </c>
      <c r="G13" s="36" t="n"/>
      <c r="H13" s="36" t="n"/>
      <c r="I13" s="11">
        <f>F13*G13</f>
        <v/>
      </c>
      <c r="J13" s="11">
        <f>F13*H13</f>
        <v/>
      </c>
      <c r="K13" s="37">
        <f>I13+J13</f>
        <v/>
      </c>
      <c r="L13" s="38" t="inlineStr">
        <is>
          <t>Gap 810 mm; wall G8</t>
        </is>
      </c>
    </row>
    <row r="14" ht="39" customHeight="1">
      <c r="A14" s="10" t="inlineStr">
        <is>
          <t>4A.6</t>
        </is>
      </c>
      <c r="B14" s="10" t="inlineStr">
        <is>
          <t>ID06 FF Hall + landing (incl. stair well) / Bedroom 1: 1 x leaf 826 x 2040 x 35, 32 x 132 lining set (partition 119), non-rated</t>
        </is>
      </c>
      <c r="C14" s="10" t="inlineStr">
        <is>
          <t>nr</t>
        </is>
      </c>
      <c r="D14" s="35" t="n">
        <v>1</v>
      </c>
      <c r="E14" s="35" t="n">
        <v>1</v>
      </c>
      <c r="F14" s="35">
        <f>D14+E14</f>
        <v/>
      </c>
      <c r="G14" s="36" t="n"/>
      <c r="H14" s="36" t="n"/>
      <c r="I14" s="11">
        <f>F14*G14</f>
        <v/>
      </c>
      <c r="J14" s="11">
        <f>F14*H14</f>
        <v/>
      </c>
      <c r="K14" s="37">
        <f>I14+J14</f>
        <v/>
      </c>
      <c r="L14" s="38" t="inlineStr">
        <is>
          <t>Gap 910 mm; wall F1</t>
        </is>
      </c>
    </row>
    <row r="15" ht="39" customHeight="1">
      <c r="A15" s="10" t="inlineStr">
        <is>
          <t>4A.7</t>
        </is>
      </c>
      <c r="B15" s="10" t="inlineStr">
        <is>
          <t>ID07 FF Living/Kitchen / Hall + landing (incl. stair well): 1 x leaf 826 x 2040 x 35, 32 x 132 lining set (partition 119), non-rated</t>
        </is>
      </c>
      <c r="C15" s="10" t="inlineStr">
        <is>
          <t>nr</t>
        </is>
      </c>
      <c r="D15" s="35" t="n">
        <v>1</v>
      </c>
      <c r="E15" s="35" t="n">
        <v>1</v>
      </c>
      <c r="F15" s="35">
        <f>D15+E15</f>
        <v/>
      </c>
      <c r="G15" s="36" t="n"/>
      <c r="H15" s="36" t="n"/>
      <c r="I15" s="11">
        <f>F15*G15</f>
        <v/>
      </c>
      <c r="J15" s="11">
        <f>F15*H15</f>
        <v/>
      </c>
      <c r="K15" s="37">
        <f>I15+J15</f>
        <v/>
      </c>
      <c r="L15" s="38" t="inlineStr">
        <is>
          <t>Gap 910 mm; wall F2</t>
        </is>
      </c>
    </row>
    <row r="16" ht="39" customHeight="1">
      <c r="A16" s="10" t="inlineStr">
        <is>
          <t>4A.8</t>
        </is>
      </c>
      <c r="B16" s="10" t="inlineStr">
        <is>
          <t>ID08 FF Bathroom / Hall + landing (incl. stair well): 1 x leaf 826 x 2040 x 35, 32 x 132 lining set (partition 119), non-rated</t>
        </is>
      </c>
      <c r="C16" s="10" t="inlineStr">
        <is>
          <t>nr</t>
        </is>
      </c>
      <c r="D16" s="35" t="n">
        <v>1</v>
      </c>
      <c r="E16" s="35" t="n">
        <v>1</v>
      </c>
      <c r="F16" s="35">
        <f>D16+E16</f>
        <v/>
      </c>
      <c r="G16" s="36" t="n"/>
      <c r="H16" s="36" t="n"/>
      <c r="I16" s="11">
        <f>F16*G16</f>
        <v/>
      </c>
      <c r="J16" s="11">
        <f>F16*H16</f>
        <v/>
      </c>
      <c r="K16" s="37">
        <f>I16+J16</f>
        <v/>
      </c>
      <c r="L16" s="38" t="inlineStr">
        <is>
          <t>Gap 910 mm; wall F3</t>
        </is>
      </c>
    </row>
    <row r="17" ht="39" customHeight="1">
      <c r="A17" s="10" t="inlineStr">
        <is>
          <t>4A.9</t>
        </is>
      </c>
      <c r="B17" s="10" t="inlineStr">
        <is>
          <t>ID09 FF Cupboard (F6/F7, unlabelled) / Living/Kitchen: 1 x leaf 726 x 2040 x 35, 32 x 132 lining set (partition 119), non-rated</t>
        </is>
      </c>
      <c r="C17" s="10" t="inlineStr">
        <is>
          <t>nr</t>
        </is>
      </c>
      <c r="D17" s="35" t="n">
        <v>1</v>
      </c>
      <c r="E17" s="35" t="n">
        <v>1</v>
      </c>
      <c r="F17" s="35">
        <f>D17+E17</f>
        <v/>
      </c>
      <c r="G17" s="36" t="n"/>
      <c r="H17" s="36" t="n"/>
      <c r="I17" s="11">
        <f>F17*G17</f>
        <v/>
      </c>
      <c r="J17" s="11">
        <f>F17*H17</f>
        <v/>
      </c>
      <c r="K17" s="37">
        <f>I17+J17</f>
        <v/>
      </c>
      <c r="L17" s="38" t="inlineStr">
        <is>
          <t>Gap 810 mm; wall F6</t>
        </is>
      </c>
    </row>
    <row r="18" ht="39" customHeight="1">
      <c r="A18" s="10" t="inlineStr">
        <is>
          <t>4A.10</t>
        </is>
      </c>
      <c r="B18" s="10" t="inlineStr">
        <is>
          <t>ID10 FF Hall + landing (incl. stair well) / Store: 1 x leaf 526 x 2040 x 35, 32 x 132 lining set (partition 119), non-rated</t>
        </is>
      </c>
      <c r="C18" s="10" t="inlineStr">
        <is>
          <t>nr</t>
        </is>
      </c>
      <c r="D18" s="35" t="n">
        <v>1</v>
      </c>
      <c r="E18" s="35" t="n">
        <v>1</v>
      </c>
      <c r="F18" s="35">
        <f>D18+E18</f>
        <v/>
      </c>
      <c r="G18" s="36" t="n"/>
      <c r="H18" s="36" t="n"/>
      <c r="I18" s="11">
        <f>F18*G18</f>
        <v/>
      </c>
      <c r="J18" s="11">
        <f>F18*H18</f>
        <v/>
      </c>
      <c r="K18" s="37">
        <f>I18+J18</f>
        <v/>
      </c>
      <c r="L18" s="38" t="inlineStr">
        <is>
          <t>Gap 610 mm; wall F8</t>
        </is>
      </c>
    </row>
    <row r="19" ht="39" customHeight="1">
      <c r="A19" s="10" t="inlineStr">
        <is>
          <t>4A.11</t>
        </is>
      </c>
      <c r="B19" s="10" t="inlineStr">
        <is>
          <t>ID11 FF A/C / Laundry / Hall + landing (incl. stair well): 2 x leaf pair 2 x 533 x 1981 (or 2 x 526 x 2040), 32 x 132 lining set (partition 119), non-rated</t>
        </is>
      </c>
      <c r="C19" s="10" t="inlineStr">
        <is>
          <t>nr</t>
        </is>
      </c>
      <c r="D19" s="35" t="n">
        <v>1</v>
      </c>
      <c r="E19" s="35" t="n">
        <v>1</v>
      </c>
      <c r="F19" s="35">
        <f>D19+E19</f>
        <v/>
      </c>
      <c r="G19" s="36" t="n"/>
      <c r="H19" s="36" t="n"/>
      <c r="I19" s="11">
        <f>F19*G19</f>
        <v/>
      </c>
      <c r="J19" s="11">
        <f>F19*H19</f>
        <v/>
      </c>
      <c r="K19" s="37">
        <f>I19+J19</f>
        <v/>
      </c>
      <c r="L19" s="38" t="inlineStr">
        <is>
          <t>Gap 1210 mm; wall F9</t>
        </is>
      </c>
    </row>
    <row r="20" ht="39" customHeight="1">
      <c r="A20" s="10" t="inlineStr">
        <is>
          <t>4A.12</t>
        </is>
      </c>
      <c r="B20" s="10" t="inlineStr">
        <is>
          <t>ID12 GF Hall / Store (under stair, via W_c): 1 x leaf 826 x 2040 x 35, ICF reveal: 32 x 315 lining (6in Std 285.75 + boards), FD30S self-closing (confirm with BCO)</t>
        </is>
      </c>
      <c r="C20" s="10" t="inlineStr">
        <is>
          <t>nr</t>
        </is>
      </c>
      <c r="D20" s="35" t="n">
        <v>1</v>
      </c>
      <c r="E20" s="35" t="n">
        <v>1</v>
      </c>
      <c r="F20" s="35">
        <f>D20+E20</f>
        <v/>
      </c>
      <c r="G20" s="36" t="n"/>
      <c r="H20" s="36" t="n"/>
      <c r="I20" s="11">
        <f>F20*G20</f>
        <v/>
      </c>
      <c r="J20" s="11">
        <f>F20*H20</f>
        <v/>
      </c>
      <c r="K20" s="37">
        <f>I20+J20</f>
        <v/>
      </c>
      <c r="L20" s="38" t="inlineStr">
        <is>
          <t>Gap 900 mm; wall W_c (ICF 6in Std)</t>
        </is>
      </c>
    </row>
    <row r="21">
      <c r="A21" s="30" t="inlineStr">
        <is>
          <t>4B  Ironmongery (NRM2 24 / package JOI)</t>
        </is>
      </c>
    </row>
    <row r="22" ht="15" customHeight="1">
      <c r="A22" s="10" t="inlineStr">
        <is>
          <t>4B.1</t>
        </is>
      </c>
      <c r="B22" s="10" t="inlineStr">
        <is>
          <t>Butt hinges, pairs (1.5 pair per leaf)</t>
        </is>
      </c>
      <c r="C22" s="10" t="inlineStr">
        <is>
          <t>pr</t>
        </is>
      </c>
      <c r="D22" s="35" t="n">
        <v>21</v>
      </c>
      <c r="E22" s="35" t="n">
        <v>21</v>
      </c>
      <c r="F22" s="35">
        <f>D22+E22</f>
        <v/>
      </c>
      <c r="G22" s="36" t="n"/>
      <c r="H22" s="36" t="n"/>
      <c r="I22" s="11">
        <f>F22*G22</f>
        <v/>
      </c>
      <c r="J22" s="11">
        <f>F22*H22</f>
        <v/>
      </c>
      <c r="K22" s="37">
        <f>I22+J22</f>
        <v/>
      </c>
      <c r="L22" s="38" t="inlineStr">
        <is>
          <t>14 leaves per plot</t>
        </is>
      </c>
    </row>
    <row r="23" ht="15" customHeight="1">
      <c r="A23" s="10" t="inlineStr">
        <is>
          <t>4B.2</t>
        </is>
      </c>
      <c r="B23" s="10" t="inlineStr">
        <is>
          <t>Standard sets: tubular latch and lever pair</t>
        </is>
      </c>
      <c r="C23" s="10" t="inlineStr">
        <is>
          <t>set</t>
        </is>
      </c>
      <c r="D23" s="35" t="n">
        <v>4</v>
      </c>
      <c r="E23" s="35" t="n">
        <v>4</v>
      </c>
      <c r="F23" s="35">
        <f>D23+E23</f>
        <v/>
      </c>
      <c r="G23" s="36" t="n"/>
      <c r="H23" s="36" t="n"/>
      <c r="I23" s="11">
        <f>F23*G23</f>
        <v/>
      </c>
      <c r="J23" s="11">
        <f>F23*H23</f>
        <v/>
      </c>
      <c r="K23" s="37">
        <f>I23+J23</f>
        <v/>
      </c>
      <c r="L23" s="38" t="inlineStr"/>
    </row>
    <row r="24" ht="15" customHeight="1">
      <c r="A24" s="10" t="inlineStr">
        <is>
          <t>4B.3</t>
        </is>
      </c>
      <c r="B24" s="10" t="inlineStr">
        <is>
          <t>Bathroom sets: privacy lock, lever pair, emergency release</t>
        </is>
      </c>
      <c r="C24" s="10" t="inlineStr">
        <is>
          <t>set</t>
        </is>
      </c>
      <c r="D24" s="35" t="n">
        <v>2</v>
      </c>
      <c r="E24" s="35" t="n">
        <v>2</v>
      </c>
      <c r="F24" s="35">
        <f>D24+E24</f>
        <v/>
      </c>
      <c r="G24" s="36" t="n"/>
      <c r="H24" s="36" t="n"/>
      <c r="I24" s="11">
        <f>F24*G24</f>
        <v/>
      </c>
      <c r="J24" s="11">
        <f>F24*H24</f>
        <v/>
      </c>
      <c r="K24" s="37">
        <f>I24+J24</f>
        <v/>
      </c>
      <c r="L24" s="38" t="inlineStr"/>
    </row>
    <row r="25" ht="15" customHeight="1">
      <c r="A25" s="10" t="inlineStr">
        <is>
          <t>4B.4</t>
        </is>
      </c>
      <c r="B25" s="10" t="inlineStr">
        <is>
          <t>Cupboard sets per leaf: catch and pull</t>
        </is>
      </c>
      <c r="C25" s="10" t="inlineStr">
        <is>
          <t>set</t>
        </is>
      </c>
      <c r="D25" s="35" t="n">
        <v>7</v>
      </c>
      <c r="E25" s="35" t="n">
        <v>7</v>
      </c>
      <c r="F25" s="35">
        <f>D25+E25</f>
        <v/>
      </c>
      <c r="G25" s="36" t="n"/>
      <c r="H25" s="36" t="n"/>
      <c r="I25" s="11">
        <f>F25*G25</f>
        <v/>
      </c>
      <c r="J25" s="11">
        <f>F25*H25</f>
        <v/>
      </c>
      <c r="K25" s="37">
        <f>I25+J25</f>
        <v/>
      </c>
      <c r="L25" s="38" t="inlineStr">
        <is>
          <t>Per leaf; 5 doorsets</t>
        </is>
      </c>
    </row>
    <row r="26" ht="15" customHeight="1">
      <c r="A26" s="10" t="inlineStr">
        <is>
          <t>4B.5</t>
        </is>
      </c>
      <c r="B26" s="10" t="inlineStr">
        <is>
          <t>Flush bolts to cupboard double doors (fixed leaf)</t>
        </is>
      </c>
      <c r="C26" s="10" t="inlineStr">
        <is>
          <t>set</t>
        </is>
      </c>
      <c r="D26" s="35" t="n">
        <v>2</v>
      </c>
      <c r="E26" s="35" t="n">
        <v>2</v>
      </c>
      <c r="F26" s="35">
        <f>D26+E26</f>
        <v/>
      </c>
      <c r="G26" s="36" t="n"/>
      <c r="H26" s="36" t="n"/>
      <c r="I26" s="11">
        <f>F26*G26</f>
        <v/>
      </c>
      <c r="J26" s="11">
        <f>F26*H26</f>
        <v/>
      </c>
      <c r="K26" s="37">
        <f>I26+J26</f>
        <v/>
      </c>
      <c r="L26" s="38" t="inlineStr">
        <is>
          <t>One per double door</t>
        </is>
      </c>
    </row>
    <row r="27" ht="26" customHeight="1">
      <c r="A27" s="10" t="inlineStr">
        <is>
          <t>4B.6</t>
        </is>
      </c>
      <c r="B27" s="10" t="inlineStr">
        <is>
          <t>FD30S sets: rated hinges, overhead closer, intumescent and smoke seals, signage</t>
        </is>
      </c>
      <c r="C27" s="10" t="inlineStr">
        <is>
          <t>set</t>
        </is>
      </c>
      <c r="D27" s="35" t="n">
        <v>1</v>
      </c>
      <c r="E27" s="35" t="n">
        <v>1</v>
      </c>
      <c r="F27" s="35">
        <f>D27+E27</f>
        <v/>
      </c>
      <c r="G27" s="36" t="n"/>
      <c r="H27" s="36" t="n"/>
      <c r="I27" s="11">
        <f>F27*G27</f>
        <v/>
      </c>
      <c r="J27" s="11">
        <f>F27*H27</f>
        <v/>
      </c>
      <c r="K27" s="37">
        <f>I27+J27</f>
        <v/>
      </c>
      <c r="L27" s="38" t="inlineStr">
        <is>
          <t>Under-stair store - precaution, confirm with Building Control</t>
        </is>
      </c>
    </row>
    <row r="28">
      <c r="A28" s="30" t="inlineStr">
        <is>
          <t>4C  External doorsets (for information - supply by others)</t>
        </is>
      </c>
    </row>
    <row r="29" ht="26" customHeight="1">
      <c r="A29" s="10" t="inlineStr">
        <is>
          <t>4C.1</t>
        </is>
      </c>
      <c r="B29" s="10" t="inlineStr">
        <is>
          <t>GF flat entrance door (XD02), 1040 x 2100 structural opening, Front elevation; PAS 24 / SBD external doorset</t>
        </is>
      </c>
      <c r="C29" s="10" t="inlineStr">
        <is>
          <t>nr</t>
        </is>
      </c>
      <c r="D29" s="35" t="n">
        <v>1</v>
      </c>
      <c r="E29" s="35" t="n">
        <v>1</v>
      </c>
      <c r="F29" s="35">
        <f>D29+E29</f>
        <v/>
      </c>
      <c r="G29" s="36" t="n"/>
      <c r="H29" s="36" t="n"/>
      <c r="I29" s="11">
        <f>F29*G29</f>
        <v/>
      </c>
      <c r="J29" s="11">
        <f>F29*H29</f>
        <v/>
      </c>
      <c r="K29" s="37">
        <f>I29+J29</f>
        <v/>
      </c>
      <c r="L29" s="38" t="inlineStr">
        <is>
          <t>Window / door package - coordination only</t>
        </is>
      </c>
    </row>
    <row r="30" ht="39" customHeight="1">
      <c r="A30" s="10" t="inlineStr">
        <is>
          <t>4C.2</t>
        </is>
      </c>
      <c r="B30" s="10" t="inlineStr">
        <is>
          <t>FF flat entrance door, stair lobby (WG01), 1040 x 2100 structural opening, Stair-lobby front elevation; PAS 24 / SBD external doorset</t>
        </is>
      </c>
      <c r="C30" s="10" t="inlineStr">
        <is>
          <t>nr</t>
        </is>
      </c>
      <c r="D30" s="35" t="n">
        <v>1</v>
      </c>
      <c r="E30" s="35" t="n">
        <v>1</v>
      </c>
      <c r="F30" s="35">
        <f>D30+E30</f>
        <v/>
      </c>
      <c r="G30" s="36" t="n"/>
      <c r="H30" s="36" t="n"/>
      <c r="I30" s="11">
        <f>F30*G30</f>
        <v/>
      </c>
      <c r="J30" s="11">
        <f>F30*H30</f>
        <v/>
      </c>
      <c r="K30" s="37">
        <f>I30+J30</f>
        <v/>
      </c>
      <c r="L30" s="38" t="inlineStr">
        <is>
          <t>Window / door package - coordination only</t>
        </is>
      </c>
    </row>
    <row r="31" ht="26" customHeight="1">
      <c r="A31" s="10" t="inlineStr">
        <is>
          <t>4C.3</t>
        </is>
      </c>
      <c r="B31" s="10" t="inlineStr">
        <is>
          <t>GF rear door, living/kitchen, 1040 x 2100 structural opening, Rear elevation; PAS 24 / SBD external doorset</t>
        </is>
      </c>
      <c r="C31" s="10" t="inlineStr">
        <is>
          <t>nr</t>
        </is>
      </c>
      <c r="D31" s="35" t="n">
        <v>1</v>
      </c>
      <c r="E31" s="35" t="n">
        <v>1</v>
      </c>
      <c r="F31" s="35">
        <f>D31+E31</f>
        <v/>
      </c>
      <c r="G31" s="36" t="n"/>
      <c r="H31" s="36" t="n"/>
      <c r="I31" s="11">
        <f>F31*G31</f>
        <v/>
      </c>
      <c r="J31" s="11">
        <f>F31*H31</f>
        <v/>
      </c>
      <c r="K31" s="37">
        <f>I31+J31</f>
        <v/>
      </c>
      <c r="L31" s="38" t="inlineStr">
        <is>
          <t>Window / door package - coordination only</t>
        </is>
      </c>
    </row>
    <row r="33" ht="20" customHeight="1">
      <c r="A33" s="23" t="inlineStr">
        <is>
          <t>PACKAGE SUMMARY  -  Bill 4  Internal Doors &amp; Ironmongery  (package JOI; amounts by others, excl. VAT)</t>
        </is>
      </c>
    </row>
    <row r="34" ht="28" customHeight="1">
      <c r="A34" s="9" t="inlineStr">
        <is>
          <t>Section</t>
        </is>
      </c>
      <c r="B34" s="9" t="inlineStr">
        <is>
          <t>Description</t>
        </is>
      </c>
      <c r="C34" s="26" t="n"/>
      <c r="D34" s="26" t="n"/>
      <c r="E34" s="26" t="n"/>
      <c r="F34" s="26" t="n"/>
      <c r="G34" s="26" t="n"/>
      <c r="H34" s="27" t="n"/>
      <c r="I34" s="9" t="inlineStr">
        <is>
          <t>Supply
£</t>
        </is>
      </c>
      <c r="J34" s="9" t="inlineStr">
        <is>
          <t>Install
£</t>
        </is>
      </c>
      <c r="K34" s="9" t="inlineStr">
        <is>
          <t>Total
£</t>
        </is>
      </c>
      <c r="L34" s="9" t="inlineStr"/>
    </row>
    <row r="35" ht="16" customHeight="1">
      <c r="A35" s="39" t="inlineStr">
        <is>
          <t>4A</t>
        </is>
      </c>
      <c r="B35" s="10" t="inlineStr">
        <is>
          <t>Internal doorsets (NRM2 24 / package JOI)</t>
        </is>
      </c>
      <c r="C35" s="16" t="n"/>
      <c r="D35" s="16" t="n"/>
      <c r="E35" s="16" t="n"/>
      <c r="F35" s="16" t="n"/>
      <c r="G35" s="16" t="n"/>
      <c r="H35" s="16" t="n"/>
      <c r="I35" s="11">
        <f>SUM(I8:I20)</f>
        <v/>
      </c>
      <c r="J35" s="11">
        <f>SUM(J8:J20)</f>
        <v/>
      </c>
      <c r="K35" s="37">
        <f>SUM(K8:K20)</f>
        <v/>
      </c>
    </row>
    <row r="36" ht="16" customHeight="1">
      <c r="A36" s="39" t="inlineStr">
        <is>
          <t>4B</t>
        </is>
      </c>
      <c r="B36" s="10" t="inlineStr">
        <is>
          <t>Ironmongery (NRM2 24 / package JOI)</t>
        </is>
      </c>
      <c r="C36" s="16" t="n"/>
      <c r="D36" s="16" t="n"/>
      <c r="E36" s="16" t="n"/>
      <c r="F36" s="16" t="n"/>
      <c r="G36" s="16" t="n"/>
      <c r="H36" s="16" t="n"/>
      <c r="I36" s="11">
        <f>SUM(I22:I27)</f>
        <v/>
      </c>
      <c r="J36" s="11">
        <f>SUM(J22:J27)</f>
        <v/>
      </c>
      <c r="K36" s="37">
        <f>SUM(K22:K27)</f>
        <v/>
      </c>
    </row>
    <row r="37" ht="16" customHeight="1">
      <c r="A37" s="39" t="inlineStr">
        <is>
          <t>4C</t>
        </is>
      </c>
      <c r="B37" s="10" t="inlineStr">
        <is>
          <t>External doorsets (for information - supply by others)</t>
        </is>
      </c>
      <c r="C37" s="16" t="n"/>
      <c r="D37" s="16" t="n"/>
      <c r="E37" s="16" t="n"/>
      <c r="F37" s="16" t="n"/>
      <c r="G37" s="16" t="n"/>
      <c r="H37" s="16" t="n"/>
      <c r="I37" s="11">
        <f>SUM(I29:I31)</f>
        <v/>
      </c>
      <c r="J37" s="11">
        <f>SUM(J29:J31)</f>
        <v/>
      </c>
      <c r="K37" s="37">
        <f>SUM(K29:K31)</f>
        <v/>
      </c>
    </row>
    <row r="38" ht="20" customHeight="1">
      <c r="A38" s="40" t="inlineStr">
        <is>
          <t>PACKAGE TOTAL - Bill 4, carried to the Cover overview</t>
        </is>
      </c>
      <c r="I38" s="13">
        <f>SUM(I35:I37)</f>
        <v/>
      </c>
      <c r="J38" s="13">
        <f>SUM(J35:J37)</f>
        <v/>
      </c>
      <c r="K38" s="13">
        <f>SUM(K35:K37)</f>
        <v/>
      </c>
    </row>
    <row r="39" ht="24" customHeight="1">
      <c r="A39" s="21" t="inlineStr">
        <is>
          <t>Pale-yellow cells are the only inputs (Supply rate, Install rate). Amounts, subtotals and totals are formulas; the sheet is protected without a password (Review &gt; Unprotect Sheet). Amounts exclude VAT and are NOT part of the Nudura ICF price.</t>
        </is>
      </c>
    </row>
  </sheetData>
  <sheetProtection selectLockedCells="0" selectUnlockedCells="0" sheet="1" objects="0" insertRows="1" insertHyperlinks="1" autoFilter="1" scenarios="0" formatColumns="0" deleteColumns="1" insertColumns="1" pivotTables="1" deleteRows="1" formatCells="1" formatRows="0" sort="1"/>
  <mergeCells count="14">
    <mergeCell ref="B36:H36"/>
    <mergeCell ref="A21:L21"/>
    <mergeCell ref="A7:L7"/>
    <mergeCell ref="A39:L39"/>
    <mergeCell ref="A33:L33"/>
    <mergeCell ref="B35:H35"/>
    <mergeCell ref="A38:H38"/>
    <mergeCell ref="A28:L28"/>
    <mergeCell ref="B37:H37"/>
    <mergeCell ref="C2:L2"/>
    <mergeCell ref="B34:H34"/>
    <mergeCell ref="C1:L1"/>
    <mergeCell ref="A4:L4"/>
    <mergeCell ref="B8:L8"/>
  </mergeCells>
  <printOptions horizontalCentered="1"/>
  <pageMargins left="0.75" right="0.75" top="0.7" bottom="0.75" header="0.5" footer="0.5"/>
  <pageSetup orientation="landscape" paperSize="9" fitToHeight="0" fitToWidth="1"/>
  <headerFooter>
    <oddHeader>&amp;L&amp;8 BuildEase  |  ES26-081 Lon Eilian, Caernarfon  |  Beech Developments&amp;R&amp;8 Bill of Quantities Package - Ancillary Trades - Issue 01</oddHeader>
    <oddFooter>&amp;L&amp;7 &amp;KC98A1BSupplied in good faith for guidance only. NOT part of the Nudura ICF price. Check and verify with the appropriate professional before use. No waste unless stated.&amp;R&amp;8 Page &amp;P of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L49"/>
  <sheetViews>
    <sheetView showGridLines="0" workbookViewId="0">
      <pane ySplit="6" topLeftCell="A7" activePane="bottomLeft" state="frozen"/>
      <selection pane="bottomLeft" activeCell="A1" sqref="A1"/>
    </sheetView>
  </sheetViews>
  <sheetFormatPr baseColWidth="8" defaultRowHeight="15"/>
  <cols>
    <col width="8" customWidth="1" min="1" max="1"/>
    <col width="56" customWidth="1" min="2" max="2"/>
    <col width="6" customWidth="1" min="3" max="3"/>
    <col width="10" customWidth="1" min="4" max="4"/>
    <col width="10" customWidth="1" min="5" max="5"/>
    <col width="10" customWidth="1" min="6" max="6"/>
    <col width="11" customWidth="1" min="7" max="7"/>
    <col width="11" customWidth="1" min="8" max="8"/>
    <col width="13" customWidth="1" min="9" max="9"/>
    <col width="13" customWidth="1" min="10" max="10"/>
    <col width="14" customWidth="1" min="11" max="11"/>
    <col width="42" customWidth="1" min="12" max="12"/>
  </cols>
  <sheetData>
    <row r="1" ht="22" customHeight="1">
      <c r="C1" s="1" t="inlineStr">
        <is>
          <t>Bill 5 - Joinery - Skirtings, Architraves &amp; Window Boards</t>
        </is>
      </c>
    </row>
    <row r="2" ht="26" customHeight="1">
      <c r="C2" s="33" t="inlineStr">
        <is>
          <t>Second-fix joinery measured per room and per opening.  [NRM2 22 / package JOI]</t>
        </is>
      </c>
    </row>
    <row r="3" ht="4" customHeight="1">
      <c r="A3" s="3" t="n"/>
      <c r="B3" s="3" t="n"/>
      <c r="C3" s="3" t="n"/>
      <c r="D3" s="3" t="n"/>
      <c r="E3" s="3" t="n"/>
      <c r="F3" s="3" t="n"/>
      <c r="G3" s="3" t="n"/>
      <c r="H3" s="3" t="n"/>
      <c r="I3" s="3" t="n"/>
      <c r="J3" s="3" t="n"/>
      <c r="K3" s="3" t="n"/>
      <c r="L3" s="3" t="n"/>
    </row>
    <row r="4" ht="48" customHeight="1">
      <c r="A4" s="4"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quotation model and drawings; no allowance for waste is included unless stated. Plot C/D is the handed mirror of Plot A/B; quantities match except Bill 6. Rates and amounts are by others.</t>
        </is>
      </c>
    </row>
    <row r="6" ht="28" customHeight="1">
      <c r="A6" s="9" t="inlineStr">
        <is>
          <t>Ref</t>
        </is>
      </c>
      <c r="B6" s="9" t="inlineStr">
        <is>
          <t>Description</t>
        </is>
      </c>
      <c r="C6" s="9" t="inlineStr">
        <is>
          <t>Unit</t>
        </is>
      </c>
      <c r="D6" s="9" t="inlineStr">
        <is>
          <t>Plot A/B</t>
        </is>
      </c>
      <c r="E6" s="9" t="inlineStr">
        <is>
          <t>Plot C/D</t>
        </is>
      </c>
      <c r="F6" s="9" t="inlineStr">
        <is>
          <t>Total qty</t>
        </is>
      </c>
      <c r="G6" s="9" t="inlineStr">
        <is>
          <t>Supply rate
£</t>
        </is>
      </c>
      <c r="H6" s="9" t="inlineStr">
        <is>
          <t>Install rate
£</t>
        </is>
      </c>
      <c r="I6" s="9" t="inlineStr">
        <is>
          <t>Supply
£</t>
        </is>
      </c>
      <c r="J6" s="9" t="inlineStr">
        <is>
          <t>Install
£</t>
        </is>
      </c>
      <c r="K6" s="9" t="inlineStr">
        <is>
          <t>Line total
£</t>
        </is>
      </c>
      <c r="L6" s="9" t="inlineStr">
        <is>
          <t>Notes</t>
        </is>
      </c>
    </row>
    <row r="7">
      <c r="A7" s="30" t="inlineStr">
        <is>
          <t>5A  Skirtings (NRM2 22 / package JOI)</t>
        </is>
      </c>
    </row>
    <row r="8" ht="13" customHeight="1">
      <c r="B8" s="34" t="inlineStr">
        <is>
          <t>Room floor perimeter on walls less every door width opening into the room; stair-well balustrade edge excluded.</t>
        </is>
      </c>
    </row>
    <row r="9" ht="15" customHeight="1">
      <c r="A9" s="10" t="inlineStr">
        <is>
          <t>5A.1</t>
        </is>
      </c>
      <c r="B9" s="10" t="inlineStr">
        <is>
          <t>Skirting: GF GF flat, Living/Kitchen</t>
        </is>
      </c>
      <c r="C9" s="10" t="inlineStr">
        <is>
          <t>m</t>
        </is>
      </c>
      <c r="D9" s="35" t="n">
        <v>17.35</v>
      </c>
      <c r="E9" s="35" t="n">
        <v>17.35</v>
      </c>
      <c r="F9" s="35">
        <f>D9+E9</f>
        <v/>
      </c>
      <c r="G9" s="36" t="n"/>
      <c r="H9" s="36" t="n"/>
      <c r="I9" s="11">
        <f>F9*G9</f>
        <v/>
      </c>
      <c r="J9" s="11">
        <f>F9*H9</f>
        <v/>
      </c>
      <c r="K9" s="37">
        <f>I9+J9</f>
        <v/>
      </c>
      <c r="L9" s="38" t="inlineStr"/>
    </row>
    <row r="10" ht="15" customHeight="1">
      <c r="A10" s="10" t="inlineStr">
        <is>
          <t>5A.2</t>
        </is>
      </c>
      <c r="B10" s="10" t="inlineStr">
        <is>
          <t>Skirting: GF GF flat, Cupboard (G8/G9, unlabelled)</t>
        </is>
      </c>
      <c r="C10" s="10" t="inlineStr">
        <is>
          <t>m</t>
        </is>
      </c>
      <c r="D10" s="35" t="n">
        <v>2.59</v>
      </c>
      <c r="E10" s="35" t="n">
        <v>2.59</v>
      </c>
      <c r="F10" s="35">
        <f>D10+E10</f>
        <v/>
      </c>
      <c r="G10" s="36" t="n"/>
      <c r="H10" s="36" t="n"/>
      <c r="I10" s="11">
        <f>F10*G10</f>
        <v/>
      </c>
      <c r="J10" s="11">
        <f>F10*H10</f>
        <v/>
      </c>
      <c r="K10" s="37">
        <f>I10+J10</f>
        <v/>
      </c>
      <c r="L10" s="38" t="inlineStr"/>
    </row>
    <row r="11" ht="15" customHeight="1">
      <c r="A11" s="10" t="inlineStr">
        <is>
          <t>5A.3</t>
        </is>
      </c>
      <c r="B11" s="10" t="inlineStr">
        <is>
          <t>Skirting: GF GF flat, Bathroom</t>
        </is>
      </c>
      <c r="C11" s="10" t="inlineStr">
        <is>
          <t>m</t>
        </is>
      </c>
      <c r="D11" s="35" t="n">
        <v>7.81</v>
      </c>
      <c r="E11" s="35" t="n">
        <v>7.81</v>
      </c>
      <c r="F11" s="35">
        <f>D11+E11</f>
        <v/>
      </c>
      <c r="G11" s="36" t="n"/>
      <c r="H11" s="36" t="n"/>
      <c r="I11" s="11">
        <f>F11*G11</f>
        <v/>
      </c>
      <c r="J11" s="11">
        <f>F11*H11</f>
        <v/>
      </c>
      <c r="K11" s="37">
        <f>I11+J11</f>
        <v/>
      </c>
      <c r="L11" s="38" t="inlineStr"/>
    </row>
    <row r="12" ht="15" customHeight="1">
      <c r="A12" s="10" t="inlineStr">
        <is>
          <t>5A.4</t>
        </is>
      </c>
      <c r="B12" s="10" t="inlineStr">
        <is>
          <t>Skirting: GF GF flat, Hall</t>
        </is>
      </c>
      <c r="C12" s="10" t="inlineStr">
        <is>
          <t>m</t>
        </is>
      </c>
      <c r="D12" s="35" t="n">
        <v>5.45</v>
      </c>
      <c r="E12" s="35" t="n">
        <v>5.45</v>
      </c>
      <c r="F12" s="35">
        <f>D12+E12</f>
        <v/>
      </c>
      <c r="G12" s="36" t="n"/>
      <c r="H12" s="36" t="n"/>
      <c r="I12" s="11">
        <f>F12*G12</f>
        <v/>
      </c>
      <c r="J12" s="11">
        <f>F12*H12</f>
        <v/>
      </c>
      <c r="K12" s="37">
        <f>I12+J12</f>
        <v/>
      </c>
      <c r="L12" s="38" t="inlineStr"/>
    </row>
    <row r="13" ht="15" customHeight="1">
      <c r="A13" s="10" t="inlineStr">
        <is>
          <t>5A.5</t>
        </is>
      </c>
      <c r="B13" s="10" t="inlineStr">
        <is>
          <t>Skirting: GF GF flat, Bedroom 1</t>
        </is>
      </c>
      <c r="C13" s="10" t="inlineStr">
        <is>
          <t>m</t>
        </is>
      </c>
      <c r="D13" s="35" t="n">
        <v>14.24</v>
      </c>
      <c r="E13" s="35" t="n">
        <v>14.24</v>
      </c>
      <c r="F13" s="35">
        <f>D13+E13</f>
        <v/>
      </c>
      <c r="G13" s="36" t="n"/>
      <c r="H13" s="36" t="n"/>
      <c r="I13" s="11">
        <f>F13*G13</f>
        <v/>
      </c>
      <c r="J13" s="11">
        <f>F13*H13</f>
        <v/>
      </c>
      <c r="K13" s="37">
        <f>I13+J13</f>
        <v/>
      </c>
      <c r="L13" s="38" t="inlineStr"/>
    </row>
    <row r="14" ht="15" customHeight="1">
      <c r="A14" s="10" t="inlineStr">
        <is>
          <t>5A.6</t>
        </is>
      </c>
      <c r="B14" s="10" t="inlineStr">
        <is>
          <t>Skirting: GF GF flat, A/C / Laundry</t>
        </is>
      </c>
      <c r="C14" s="10" t="inlineStr">
        <is>
          <t>m</t>
        </is>
      </c>
      <c r="D14" s="35" t="n">
        <v>2.92</v>
      </c>
      <c r="E14" s="35" t="n">
        <v>2.92</v>
      </c>
      <c r="F14" s="35">
        <f>D14+E14</f>
        <v/>
      </c>
      <c r="G14" s="36" t="n"/>
      <c r="H14" s="36" t="n"/>
      <c r="I14" s="11">
        <f>F14*G14</f>
        <v/>
      </c>
      <c r="J14" s="11">
        <f>F14*H14</f>
        <v/>
      </c>
      <c r="K14" s="37">
        <f>I14+J14</f>
        <v/>
      </c>
      <c r="L14" s="38" t="inlineStr"/>
    </row>
    <row r="15" ht="15" customHeight="1">
      <c r="A15" s="10" t="inlineStr">
        <is>
          <t>5A.7</t>
        </is>
      </c>
      <c r="B15" s="10" t="inlineStr">
        <is>
          <t>Skirting: GF GF flat, Store (under stair, via W_c)</t>
        </is>
      </c>
      <c r="C15" s="10" t="inlineStr">
        <is>
          <t>m</t>
        </is>
      </c>
      <c r="D15" s="35" t="n">
        <v>7.2</v>
      </c>
      <c r="E15" s="35" t="n">
        <v>7.2</v>
      </c>
      <c r="F15" s="35">
        <f>D15+E15</f>
        <v/>
      </c>
      <c r="G15" s="36" t="n"/>
      <c r="H15" s="36" t="n"/>
      <c r="I15" s="11">
        <f>F15*G15</f>
        <v/>
      </c>
      <c r="J15" s="11">
        <f>F15*H15</f>
        <v/>
      </c>
      <c r="K15" s="37">
        <f>I15+J15</f>
        <v/>
      </c>
      <c r="L15" s="38" t="inlineStr"/>
    </row>
    <row r="16" ht="15" customHeight="1">
      <c r="A16" s="10" t="inlineStr">
        <is>
          <t>5A.8</t>
        </is>
      </c>
      <c r="B16" s="10" t="inlineStr">
        <is>
          <t>Skirting: GF FF flat, Stairs / entrance lobby (FF flat)</t>
        </is>
      </c>
      <c r="C16" s="10" t="inlineStr">
        <is>
          <t>m</t>
        </is>
      </c>
      <c r="D16" s="35" t="n">
        <v>6.56</v>
      </c>
      <c r="E16" s="35" t="n">
        <v>6.56</v>
      </c>
      <c r="F16" s="35">
        <f>D16+E16</f>
        <v/>
      </c>
      <c r="G16" s="36" t="n"/>
      <c r="H16" s="36" t="n"/>
      <c r="I16" s="11">
        <f>F16*G16</f>
        <v/>
      </c>
      <c r="J16" s="11">
        <f>F16*H16</f>
        <v/>
      </c>
      <c r="K16" s="37">
        <f>I16+J16</f>
        <v/>
      </c>
      <c r="L16" s="38" t="inlineStr"/>
    </row>
    <row r="17" ht="15" customHeight="1">
      <c r="A17" s="10" t="inlineStr">
        <is>
          <t>5A.9</t>
        </is>
      </c>
      <c r="B17" s="10" t="inlineStr">
        <is>
          <t>Skirting: FF FF flat, Living/Kitchen</t>
        </is>
      </c>
      <c r="C17" s="10" t="inlineStr">
        <is>
          <t>m</t>
        </is>
      </c>
      <c r="D17" s="35" t="n">
        <v>18.39</v>
      </c>
      <c r="E17" s="35" t="n">
        <v>18.39</v>
      </c>
      <c r="F17" s="35">
        <f>D17+E17</f>
        <v/>
      </c>
      <c r="G17" s="36" t="n"/>
      <c r="H17" s="36" t="n"/>
      <c r="I17" s="11">
        <f>F17*G17</f>
        <v/>
      </c>
      <c r="J17" s="11">
        <f>F17*H17</f>
        <v/>
      </c>
      <c r="K17" s="37">
        <f>I17+J17</f>
        <v/>
      </c>
      <c r="L17" s="38" t="inlineStr"/>
    </row>
    <row r="18" ht="15" customHeight="1">
      <c r="A18" s="10" t="inlineStr">
        <is>
          <t>5A.10</t>
        </is>
      </c>
      <c r="B18" s="10" t="inlineStr">
        <is>
          <t>Skirting: FF FF flat, Cupboard (F6/F7, unlabelled)</t>
        </is>
      </c>
      <c r="C18" s="10" t="inlineStr">
        <is>
          <t>m</t>
        </is>
      </c>
      <c r="D18" s="35" t="n">
        <v>2.59</v>
      </c>
      <c r="E18" s="35" t="n">
        <v>2.59</v>
      </c>
      <c r="F18" s="35">
        <f>D18+E18</f>
        <v/>
      </c>
      <c r="G18" s="36" t="n"/>
      <c r="H18" s="36" t="n"/>
      <c r="I18" s="11">
        <f>F18*G18</f>
        <v/>
      </c>
      <c r="J18" s="11">
        <f>F18*H18</f>
        <v/>
      </c>
      <c r="K18" s="37">
        <f>I18+J18</f>
        <v/>
      </c>
      <c r="L18" s="38" t="inlineStr"/>
    </row>
    <row r="19" ht="15" customHeight="1">
      <c r="A19" s="10" t="inlineStr">
        <is>
          <t>5A.11</t>
        </is>
      </c>
      <c r="B19" s="10" t="inlineStr">
        <is>
          <t>Skirting: FF FF flat, Bathroom</t>
        </is>
      </c>
      <c r="C19" s="10" t="inlineStr">
        <is>
          <t>m</t>
        </is>
      </c>
      <c r="D19" s="35" t="n">
        <v>7.81</v>
      </c>
      <c r="E19" s="35" t="n">
        <v>7.81</v>
      </c>
      <c r="F19" s="35">
        <f>D19+E19</f>
        <v/>
      </c>
      <c r="G19" s="36" t="n"/>
      <c r="H19" s="36" t="n"/>
      <c r="I19" s="11">
        <f>F19*G19</f>
        <v/>
      </c>
      <c r="J19" s="11">
        <f>F19*H19</f>
        <v/>
      </c>
      <c r="K19" s="37">
        <f>I19+J19</f>
        <v/>
      </c>
      <c r="L19" s="38" t="inlineStr"/>
    </row>
    <row r="20" ht="15" customHeight="1">
      <c r="A20" s="10" t="inlineStr">
        <is>
          <t>5A.12</t>
        </is>
      </c>
      <c r="B20" s="10" t="inlineStr">
        <is>
          <t>Skirting: FF FF flat, Hall + landing (incl. stair well)</t>
        </is>
      </c>
      <c r="C20" s="10" t="inlineStr">
        <is>
          <t>m</t>
        </is>
      </c>
      <c r="D20" s="35" t="n">
        <v>8.699999999999999</v>
      </c>
      <c r="E20" s="35" t="n">
        <v>8.699999999999999</v>
      </c>
      <c r="F20" s="35">
        <f>D20+E20</f>
        <v/>
      </c>
      <c r="G20" s="36" t="n"/>
      <c r="H20" s="36" t="n"/>
      <c r="I20" s="11">
        <f>F20*G20</f>
        <v/>
      </c>
      <c r="J20" s="11">
        <f>F20*H20</f>
        <v/>
      </c>
      <c r="K20" s="37">
        <f>I20+J20</f>
        <v/>
      </c>
      <c r="L20" s="38" t="inlineStr"/>
    </row>
    <row r="21" ht="15" customHeight="1">
      <c r="A21" s="10" t="inlineStr">
        <is>
          <t>5A.13</t>
        </is>
      </c>
      <c r="B21" s="10" t="inlineStr">
        <is>
          <t>Skirting: FF FF flat, Bedroom 1</t>
        </is>
      </c>
      <c r="C21" s="10" t="inlineStr">
        <is>
          <t>m</t>
        </is>
      </c>
      <c r="D21" s="35" t="n">
        <v>14.24</v>
      </c>
      <c r="E21" s="35" t="n">
        <v>14.24</v>
      </c>
      <c r="F21" s="35">
        <f>D21+E21</f>
        <v/>
      </c>
      <c r="G21" s="36" t="n"/>
      <c r="H21" s="36" t="n"/>
      <c r="I21" s="11">
        <f>F21*G21</f>
        <v/>
      </c>
      <c r="J21" s="11">
        <f>F21*H21</f>
        <v/>
      </c>
      <c r="K21" s="37">
        <f>I21+J21</f>
        <v/>
      </c>
      <c r="L21" s="38" t="inlineStr"/>
    </row>
    <row r="22" ht="15" customHeight="1">
      <c r="A22" s="10" t="inlineStr">
        <is>
          <t>5A.14</t>
        </is>
      </c>
      <c r="B22" s="10" t="inlineStr">
        <is>
          <t>Skirting: FF FF flat, A/C / Laundry</t>
        </is>
      </c>
      <c r="C22" s="10" t="inlineStr">
        <is>
          <t>m</t>
        </is>
      </c>
      <c r="D22" s="35" t="n">
        <v>2.73</v>
      </c>
      <c r="E22" s="35" t="n">
        <v>2.73</v>
      </c>
      <c r="F22" s="35">
        <f>D22+E22</f>
        <v/>
      </c>
      <c r="G22" s="36" t="n"/>
      <c r="H22" s="36" t="n"/>
      <c r="I22" s="11">
        <f>F22*G22</f>
        <v/>
      </c>
      <c r="J22" s="11">
        <f>F22*H22</f>
        <v/>
      </c>
      <c r="K22" s="37">
        <f>I22+J22</f>
        <v/>
      </c>
      <c r="L22" s="38" t="inlineStr"/>
    </row>
    <row r="23" ht="15" customHeight="1">
      <c r="A23" s="10" t="inlineStr">
        <is>
          <t>5A.15</t>
        </is>
      </c>
      <c r="B23" s="10" t="inlineStr">
        <is>
          <t>Skirting: FF FF flat, Store</t>
        </is>
      </c>
      <c r="C23" s="10" t="inlineStr">
        <is>
          <t>m</t>
        </is>
      </c>
      <c r="D23" s="35" t="n">
        <v>3.66</v>
      </c>
      <c r="E23" s="35" t="n">
        <v>3.66</v>
      </c>
      <c r="F23" s="35">
        <f>D23+E23</f>
        <v/>
      </c>
      <c r="G23" s="36" t="n"/>
      <c r="H23" s="36" t="n"/>
      <c r="I23" s="11">
        <f>F23*G23</f>
        <v/>
      </c>
      <c r="J23" s="11">
        <f>F23*H23</f>
        <v/>
      </c>
      <c r="K23" s="37">
        <f>I23+J23</f>
        <v/>
      </c>
      <c r="L23" s="38" t="inlineStr"/>
    </row>
    <row r="24" ht="15" customHeight="1">
      <c r="A24" s="46" t="inlineStr">
        <is>
          <t>5A.T</t>
        </is>
      </c>
      <c r="B24" s="46" t="inlineStr">
        <is>
          <t>Skirtings - total</t>
        </is>
      </c>
      <c r="C24" s="46" t="inlineStr">
        <is>
          <t>m</t>
        </is>
      </c>
      <c r="D24" s="47">
        <f>SUM(D9:D23)</f>
        <v/>
      </c>
      <c r="E24" s="47">
        <f>SUM(E9:E23)</f>
        <v/>
      </c>
      <c r="F24" s="47">
        <f>D24+E24</f>
        <v/>
      </c>
      <c r="G24" s="48" t="n"/>
      <c r="H24" s="48" t="n"/>
      <c r="I24" s="48" t="n"/>
      <c r="J24" s="48" t="n"/>
      <c r="K24" s="44" t="inlineStr">
        <is>
          <t>not priced</t>
        </is>
      </c>
      <c r="L24" s="49" t="inlineStr">
        <is>
          <t>Order guide +10% = 268.9</t>
        </is>
      </c>
    </row>
    <row r="25">
      <c r="A25" s="30" t="inlineStr">
        <is>
          <t>5B  Architraves (NRM2 22 / package JOI)</t>
        </is>
      </c>
    </row>
    <row r="26" ht="13" customHeight="1">
      <c r="B26" s="34" t="inlineStr">
        <is>
          <t>Per face = 2 legs x 2150 + (door gap + 2 x 70). Internal doors both faces; external doors inside face only.</t>
        </is>
      </c>
    </row>
    <row r="27" ht="15" customHeight="1">
      <c r="A27" s="10" t="inlineStr">
        <is>
          <t>5B.1</t>
        </is>
      </c>
      <c r="B27" s="10" t="inlineStr">
        <is>
          <t>Architrave to internal doors both faces</t>
        </is>
      </c>
      <c r="C27" s="10" t="inlineStr">
        <is>
          <t>m</t>
        </is>
      </c>
      <c r="D27" s="35" t="n">
        <v>128.58</v>
      </c>
      <c r="E27" s="35" t="n">
        <v>128.58</v>
      </c>
      <c r="F27" s="35">
        <f>D27+E27</f>
        <v/>
      </c>
      <c r="G27" s="36" t="n"/>
      <c r="H27" s="36" t="n"/>
      <c r="I27" s="11">
        <f>F27*G27</f>
        <v/>
      </c>
      <c r="J27" s="11">
        <f>F27*H27</f>
        <v/>
      </c>
      <c r="K27" s="37">
        <f>I27+J27</f>
        <v/>
      </c>
      <c r="L27" s="38" t="inlineStr">
        <is>
          <t>Order guide +10% = 282.9</t>
        </is>
      </c>
    </row>
    <row r="28" ht="15" customHeight="1">
      <c r="A28" s="10" t="inlineStr">
        <is>
          <t>5B.2</t>
        </is>
      </c>
      <c r="B28" s="10" t="inlineStr">
        <is>
          <t>Architrave to external doors one face</t>
        </is>
      </c>
      <c r="C28" s="10" t="inlineStr">
        <is>
          <t>m</t>
        </is>
      </c>
      <c r="D28" s="35" t="n">
        <v>16.44</v>
      </c>
      <c r="E28" s="35" t="n">
        <v>16.44</v>
      </c>
      <c r="F28" s="35">
        <f>D28+E28</f>
        <v/>
      </c>
      <c r="G28" s="36" t="n"/>
      <c r="H28" s="36" t="n"/>
      <c r="I28" s="11">
        <f>F28*G28</f>
        <v/>
      </c>
      <c r="J28" s="11">
        <f>F28*H28</f>
        <v/>
      </c>
      <c r="K28" s="37">
        <f>I28+J28</f>
        <v/>
      </c>
      <c r="L28" s="38" t="inlineStr">
        <is>
          <t>Order guide +10% = 36.2</t>
        </is>
      </c>
    </row>
    <row r="29">
      <c r="A29" s="30" t="inlineStr">
        <is>
          <t>5C  Window boards (NRM2 22 / package JOI)</t>
        </is>
      </c>
    </row>
    <row r="30" ht="13" customHeight="1">
      <c r="B30" s="34" t="inlineStr">
        <is>
          <t>Length = structural opening width + 2 x 50 horns; depth = internal reveal 195 + 25 nosing = 220 mm (order 225 mm MDF / uPVC).</t>
        </is>
      </c>
    </row>
    <row r="31" ht="26" customHeight="1">
      <c r="A31" s="10" t="inlineStr">
        <is>
          <t>5C.1</t>
        </is>
      </c>
      <c r="B31" s="10" t="inlineStr">
        <is>
          <t>Window board 220 x 1680 mm long, with horns, nosing to front edge</t>
        </is>
      </c>
      <c r="C31" s="10" t="inlineStr">
        <is>
          <t>nr</t>
        </is>
      </c>
      <c r="D31" s="35" t="n">
        <v>2</v>
      </c>
      <c r="E31" s="35" t="n">
        <v>2</v>
      </c>
      <c r="F31" s="35">
        <f>D31+E31</f>
        <v/>
      </c>
      <c r="G31" s="36" t="n"/>
      <c r="H31" s="36" t="n"/>
      <c r="I31" s="11">
        <f>F31*G31</f>
        <v/>
      </c>
      <c r="J31" s="11">
        <f>F31*H31</f>
        <v/>
      </c>
      <c r="K31" s="37">
        <f>I31+J31</f>
        <v/>
      </c>
      <c r="L31" s="38" t="inlineStr"/>
    </row>
    <row r="32" ht="26" customHeight="1">
      <c r="A32" s="10" t="inlineStr">
        <is>
          <t>5C.2</t>
        </is>
      </c>
      <c r="B32" s="10" t="inlineStr">
        <is>
          <t>Window board 220 x 1670 mm long, with horns, nosing to front edge</t>
        </is>
      </c>
      <c r="C32" s="10" t="inlineStr">
        <is>
          <t>nr</t>
        </is>
      </c>
      <c r="D32" s="35" t="n">
        <v>2</v>
      </c>
      <c r="E32" s="35" t="n">
        <v>2</v>
      </c>
      <c r="F32" s="35">
        <f>D32+E32</f>
        <v/>
      </c>
      <c r="G32" s="36" t="n"/>
      <c r="H32" s="36" t="n"/>
      <c r="I32" s="11">
        <f>F32*G32</f>
        <v/>
      </c>
      <c r="J32" s="11">
        <f>F32*H32</f>
        <v/>
      </c>
      <c r="K32" s="37">
        <f>I32+J32</f>
        <v/>
      </c>
      <c r="L32" s="38" t="inlineStr"/>
    </row>
    <row r="33" ht="26" customHeight="1">
      <c r="A33" s="10" t="inlineStr">
        <is>
          <t>5C.3</t>
        </is>
      </c>
      <c r="B33" s="10" t="inlineStr">
        <is>
          <t>Window board 220 x 1110 mm long, with horns, nosing to front edge</t>
        </is>
      </c>
      <c r="C33" s="10" t="inlineStr">
        <is>
          <t>nr</t>
        </is>
      </c>
      <c r="D33" s="35" t="n">
        <v>2</v>
      </c>
      <c r="E33" s="35" t="n">
        <v>2</v>
      </c>
      <c r="F33" s="35">
        <f>D33+E33</f>
        <v/>
      </c>
      <c r="G33" s="36" t="n"/>
      <c r="H33" s="36" t="n"/>
      <c r="I33" s="11">
        <f>F33*G33</f>
        <v/>
      </c>
      <c r="J33" s="11">
        <f>F33*H33</f>
        <v/>
      </c>
      <c r="K33" s="37">
        <f>I33+J33</f>
        <v/>
      </c>
      <c r="L33" s="38" t="inlineStr"/>
    </row>
    <row r="34" ht="26" customHeight="1">
      <c r="A34" s="10" t="inlineStr">
        <is>
          <t>5C.4</t>
        </is>
      </c>
      <c r="B34" s="10" t="inlineStr">
        <is>
          <t>Window board 220 x 870 mm long, with horns, nosing to front edge</t>
        </is>
      </c>
      <c r="C34" s="10" t="inlineStr">
        <is>
          <t>nr</t>
        </is>
      </c>
      <c r="D34" s="35" t="n">
        <v>1</v>
      </c>
      <c r="E34" s="35" t="n">
        <v>1</v>
      </c>
      <c r="F34" s="35">
        <f>D34+E34</f>
        <v/>
      </c>
      <c r="G34" s="36" t="n"/>
      <c r="H34" s="36" t="n"/>
      <c r="I34" s="11">
        <f>F34*G34</f>
        <v/>
      </c>
      <c r="J34" s="11">
        <f>F34*H34</f>
        <v/>
      </c>
      <c r="K34" s="37">
        <f>I34+J34</f>
        <v/>
      </c>
      <c r="L34" s="38" t="inlineStr"/>
    </row>
    <row r="35" ht="26" customHeight="1">
      <c r="A35" s="10" t="inlineStr">
        <is>
          <t>5C.5</t>
        </is>
      </c>
      <c r="B35" s="10" t="inlineStr">
        <is>
          <t>Window board 220 x 860 mm long, with horns, nosing to front edge</t>
        </is>
      </c>
      <c r="C35" s="10" t="inlineStr">
        <is>
          <t>nr</t>
        </is>
      </c>
      <c r="D35" s="35" t="n">
        <v>1</v>
      </c>
      <c r="E35" s="35" t="n">
        <v>1</v>
      </c>
      <c r="F35" s="35">
        <f>D35+E35</f>
        <v/>
      </c>
      <c r="G35" s="36" t="n"/>
      <c r="H35" s="36" t="n"/>
      <c r="I35" s="11">
        <f>F35*G35</f>
        <v/>
      </c>
      <c r="J35" s="11">
        <f>F35*H35</f>
        <v/>
      </c>
      <c r="K35" s="37">
        <f>I35+J35</f>
        <v/>
      </c>
      <c r="L35" s="38" t="inlineStr"/>
    </row>
    <row r="36" ht="26" customHeight="1">
      <c r="A36" s="10" t="inlineStr">
        <is>
          <t>5C.6</t>
        </is>
      </c>
      <c r="B36" s="10" t="inlineStr">
        <is>
          <t>Window board 220 x 850 mm long, with horns, nosing to front edge</t>
        </is>
      </c>
      <c r="C36" s="10" t="inlineStr">
        <is>
          <t>nr</t>
        </is>
      </c>
      <c r="D36" s="35" t="n">
        <v>1</v>
      </c>
      <c r="E36" s="35" t="n">
        <v>1</v>
      </c>
      <c r="F36" s="35">
        <f>D36+E36</f>
        <v/>
      </c>
      <c r="G36" s="36" t="n"/>
      <c r="H36" s="36" t="n"/>
      <c r="I36" s="11">
        <f>F36*G36</f>
        <v/>
      </c>
      <c r="J36" s="11">
        <f>F36*H36</f>
        <v/>
      </c>
      <c r="K36" s="37">
        <f>I36+J36</f>
        <v/>
      </c>
      <c r="L36" s="38" t="inlineStr"/>
    </row>
    <row r="37" ht="26" customHeight="1">
      <c r="A37" s="10" t="inlineStr">
        <is>
          <t>5C.7</t>
        </is>
      </c>
      <c r="B37" s="10" t="inlineStr">
        <is>
          <t>Window board 220 x 840 mm long, with horns, nosing to front edge</t>
        </is>
      </c>
      <c r="C37" s="10" t="inlineStr">
        <is>
          <t>nr</t>
        </is>
      </c>
      <c r="D37" s="35" t="n">
        <v>2</v>
      </c>
      <c r="E37" s="35" t="n">
        <v>2</v>
      </c>
      <c r="F37" s="35">
        <f>D37+E37</f>
        <v/>
      </c>
      <c r="G37" s="36" t="n"/>
      <c r="H37" s="36" t="n"/>
      <c r="I37" s="11">
        <f>F37*G37</f>
        <v/>
      </c>
      <c r="J37" s="11">
        <f>F37*H37</f>
        <v/>
      </c>
      <c r="K37" s="37">
        <f>I37+J37</f>
        <v/>
      </c>
      <c r="L37" s="38" t="inlineStr"/>
    </row>
    <row r="38" ht="26" customHeight="1">
      <c r="A38" s="10" t="inlineStr">
        <is>
          <t>5C.8</t>
        </is>
      </c>
      <c r="B38" s="10" t="inlineStr">
        <is>
          <t>Window board 220 x 830 mm long, with horns, nosing to front edge</t>
        </is>
      </c>
      <c r="C38" s="10" t="inlineStr">
        <is>
          <t>nr</t>
        </is>
      </c>
      <c r="D38" s="35" t="n">
        <v>1</v>
      </c>
      <c r="E38" s="35" t="n">
        <v>1</v>
      </c>
      <c r="F38" s="35">
        <f>D38+E38</f>
        <v/>
      </c>
      <c r="G38" s="36" t="n"/>
      <c r="H38" s="36" t="n"/>
      <c r="I38" s="11">
        <f>F38*G38</f>
        <v/>
      </c>
      <c r="J38" s="11">
        <f>F38*H38</f>
        <v/>
      </c>
      <c r="K38" s="37">
        <f>I38+J38</f>
        <v/>
      </c>
      <c r="L38" s="38" t="inlineStr"/>
    </row>
    <row r="39" ht="26" customHeight="1">
      <c r="A39" s="10" t="inlineStr">
        <is>
          <t>5C.9</t>
        </is>
      </c>
      <c r="B39" s="10" t="inlineStr">
        <is>
          <t>Window board 220 x 820 mm long, with horns, nosing to front edge</t>
        </is>
      </c>
      <c r="C39" s="10" t="inlineStr">
        <is>
          <t>nr</t>
        </is>
      </c>
      <c r="D39" s="35" t="n">
        <v>1</v>
      </c>
      <c r="E39" s="35" t="n">
        <v>1</v>
      </c>
      <c r="F39" s="35">
        <f>D39+E39</f>
        <v/>
      </c>
      <c r="G39" s="36" t="n"/>
      <c r="H39" s="36" t="n"/>
      <c r="I39" s="11">
        <f>F39*G39</f>
        <v/>
      </c>
      <c r="J39" s="11">
        <f>F39*H39</f>
        <v/>
      </c>
      <c r="K39" s="37">
        <f>I39+J39</f>
        <v/>
      </c>
      <c r="L39" s="38" t="inlineStr"/>
    </row>
    <row r="40" ht="26" customHeight="1">
      <c r="A40" s="10" t="inlineStr">
        <is>
          <t>5C.10</t>
        </is>
      </c>
      <c r="B40" s="10" t="inlineStr">
        <is>
          <t>Window board 220 x 810 mm long, with horns, nosing to front edge</t>
        </is>
      </c>
      <c r="C40" s="10" t="inlineStr">
        <is>
          <t>nr</t>
        </is>
      </c>
      <c r="D40" s="35" t="n">
        <v>1</v>
      </c>
      <c r="E40" s="35" t="n">
        <v>1</v>
      </c>
      <c r="F40" s="35">
        <f>D40+E40</f>
        <v/>
      </c>
      <c r="G40" s="36" t="n"/>
      <c r="H40" s="36" t="n"/>
      <c r="I40" s="11">
        <f>F40*G40</f>
        <v/>
      </c>
      <c r="J40" s="11">
        <f>F40*H40</f>
        <v/>
      </c>
      <c r="K40" s="37">
        <f>I40+J40</f>
        <v/>
      </c>
      <c r="L40" s="38" t="inlineStr"/>
    </row>
    <row r="41" ht="15" customHeight="1">
      <c r="A41" s="46" t="inlineStr">
        <is>
          <t>5C.T</t>
        </is>
      </c>
      <c r="B41" s="46" t="inlineStr">
        <is>
          <t>Window boards - total length</t>
        </is>
      </c>
      <c r="C41" s="46" t="inlineStr">
        <is>
          <t>m</t>
        </is>
      </c>
      <c r="D41" s="47" t="n">
        <v>15.64</v>
      </c>
      <c r="E41" s="47" t="n">
        <v>15.64</v>
      </c>
      <c r="F41" s="47">
        <f>D41+E41</f>
        <v/>
      </c>
      <c r="G41" s="48" t="n"/>
      <c r="H41" s="48" t="n"/>
      <c r="I41" s="48" t="n"/>
      <c r="J41" s="48" t="n"/>
      <c r="K41" s="44" t="inlineStr">
        <is>
          <t>not priced</t>
        </is>
      </c>
      <c r="L41" s="49" t="inlineStr">
        <is>
          <t>Order guide +10% = 34.4</t>
        </is>
      </c>
    </row>
    <row r="43" ht="20" customHeight="1">
      <c r="A43" s="23" t="inlineStr">
        <is>
          <t>PACKAGE SUMMARY  -  Bill 5  Joinery - Skirtings, Architraves &amp; Window Boards  (package JOI; amounts by others, excl. VAT)</t>
        </is>
      </c>
    </row>
    <row r="44" ht="28" customHeight="1">
      <c r="A44" s="9" t="inlineStr">
        <is>
          <t>Section</t>
        </is>
      </c>
      <c r="B44" s="9" t="inlineStr">
        <is>
          <t>Description</t>
        </is>
      </c>
      <c r="C44" s="26" t="n"/>
      <c r="D44" s="26" t="n"/>
      <c r="E44" s="26" t="n"/>
      <c r="F44" s="26" t="n"/>
      <c r="G44" s="26" t="n"/>
      <c r="H44" s="27" t="n"/>
      <c r="I44" s="9" t="inlineStr">
        <is>
          <t>Supply
£</t>
        </is>
      </c>
      <c r="J44" s="9" t="inlineStr">
        <is>
          <t>Install
£</t>
        </is>
      </c>
      <c r="K44" s="9" t="inlineStr">
        <is>
          <t>Total
£</t>
        </is>
      </c>
      <c r="L44" s="9" t="inlineStr"/>
    </row>
    <row r="45" ht="16" customHeight="1">
      <c r="A45" s="39" t="inlineStr">
        <is>
          <t>5A</t>
        </is>
      </c>
      <c r="B45" s="10" t="inlineStr">
        <is>
          <t>Skirtings (NRM2 22 / package JOI)</t>
        </is>
      </c>
      <c r="C45" s="16" t="n"/>
      <c r="D45" s="16" t="n"/>
      <c r="E45" s="16" t="n"/>
      <c r="F45" s="16" t="n"/>
      <c r="G45" s="16" t="n"/>
      <c r="H45" s="16" t="n"/>
      <c r="I45" s="11">
        <f>SUM(I8:I24)</f>
        <v/>
      </c>
      <c r="J45" s="11">
        <f>SUM(J8:J24)</f>
        <v/>
      </c>
      <c r="K45" s="37">
        <f>SUM(K8:K24)</f>
        <v/>
      </c>
    </row>
    <row r="46" ht="16" customHeight="1">
      <c r="A46" s="39" t="inlineStr">
        <is>
          <t>5B</t>
        </is>
      </c>
      <c r="B46" s="10" t="inlineStr">
        <is>
          <t>Architraves (NRM2 22 / package JOI)</t>
        </is>
      </c>
      <c r="C46" s="16" t="n"/>
      <c r="D46" s="16" t="n"/>
      <c r="E46" s="16" t="n"/>
      <c r="F46" s="16" t="n"/>
      <c r="G46" s="16" t="n"/>
      <c r="H46" s="16" t="n"/>
      <c r="I46" s="11">
        <f>SUM(I26:I28)</f>
        <v/>
      </c>
      <c r="J46" s="11">
        <f>SUM(J26:J28)</f>
        <v/>
      </c>
      <c r="K46" s="37">
        <f>SUM(K26:K28)</f>
        <v/>
      </c>
    </row>
    <row r="47" ht="16" customHeight="1">
      <c r="A47" s="39" t="inlineStr">
        <is>
          <t>5C</t>
        </is>
      </c>
      <c r="B47" s="10" t="inlineStr">
        <is>
          <t>Window boards (NRM2 22 / package JOI)</t>
        </is>
      </c>
      <c r="C47" s="16" t="n"/>
      <c r="D47" s="16" t="n"/>
      <c r="E47" s="16" t="n"/>
      <c r="F47" s="16" t="n"/>
      <c r="G47" s="16" t="n"/>
      <c r="H47" s="16" t="n"/>
      <c r="I47" s="11">
        <f>SUM(I30:I41)</f>
        <v/>
      </c>
      <c r="J47" s="11">
        <f>SUM(J30:J41)</f>
        <v/>
      </c>
      <c r="K47" s="37">
        <f>SUM(K30:K41)</f>
        <v/>
      </c>
    </row>
    <row r="48" ht="20" customHeight="1">
      <c r="A48" s="40" t="inlineStr">
        <is>
          <t>PACKAGE TOTAL - Bill 5, carried to the Cover overview</t>
        </is>
      </c>
      <c r="I48" s="13">
        <f>SUM(I45:I47)</f>
        <v/>
      </c>
      <c r="J48" s="13">
        <f>SUM(J45:J47)</f>
        <v/>
      </c>
      <c r="K48" s="13">
        <f>SUM(K45:K47)</f>
        <v/>
      </c>
    </row>
    <row r="49" ht="24" customHeight="1">
      <c r="A49" s="21" t="inlineStr">
        <is>
          <t>Pale-yellow cells are the only inputs (Supply rate, Install rate). Amounts, subtotals and totals are formulas; the sheet is protected without a password (Review &gt; Unprotect Sheet). Amounts exclude VAT and are NOT part of the Nudura ICF price.</t>
        </is>
      </c>
    </row>
  </sheetData>
  <sheetProtection selectLockedCells="0" selectUnlockedCells="0" sheet="1" objects="0" insertRows="1" insertHyperlinks="1" autoFilter="1" scenarios="0" formatColumns="0" deleteColumns="1" insertColumns="1" pivotTables="1" deleteRows="1" formatCells="1" formatRows="0" sort="1"/>
  <mergeCells count="16">
    <mergeCell ref="A48:H48"/>
    <mergeCell ref="B26:L26"/>
    <mergeCell ref="A29:L29"/>
    <mergeCell ref="A7:L7"/>
    <mergeCell ref="A25:L25"/>
    <mergeCell ref="A43:L43"/>
    <mergeCell ref="B30:L30"/>
    <mergeCell ref="A49:L49"/>
    <mergeCell ref="B44:H44"/>
    <mergeCell ref="B45:H45"/>
    <mergeCell ref="B47:H47"/>
    <mergeCell ref="B46:H46"/>
    <mergeCell ref="C2:L2"/>
    <mergeCell ref="C1:L1"/>
    <mergeCell ref="A4:L4"/>
    <mergeCell ref="B8:L8"/>
  </mergeCells>
  <printOptions horizontalCentered="1"/>
  <pageMargins left="0.75" right="0.75" top="0.7" bottom="0.75" header="0.5" footer="0.5"/>
  <pageSetup orientation="landscape" paperSize="9" fitToHeight="0" fitToWidth="1"/>
  <headerFooter>
    <oddHeader>&amp;L&amp;8 BuildEase  |  ES26-081 Lon Eilian, Caernarfon  |  Beech Developments&amp;R&amp;8 Bill of Quantities Package - Ancillary Trades - Issue 01</oddHeader>
    <oddFooter>&amp;L&amp;7 &amp;KC98A1BSupplied in good faith for guidance only. NOT part of the Nudura ICF price. Check and verify with the appropriate professional before use. No waste unless stated.&amp;R&amp;8 Page &amp;P of &amp;N</oddFooter>
    <evenHeader/>
    <evenFooter/>
    <firstHeader/>
    <firstFooter/>
  </headerFooter>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A1:L52"/>
  <sheetViews>
    <sheetView showGridLines="0" workbookViewId="0">
      <pane ySplit="6" topLeftCell="A7" activePane="bottomLeft" state="frozen"/>
      <selection pane="bottomLeft" activeCell="A1" sqref="A1"/>
    </sheetView>
  </sheetViews>
  <sheetFormatPr baseColWidth="8" defaultRowHeight="15"/>
  <cols>
    <col width="8" customWidth="1" min="1" max="1"/>
    <col width="56" customWidth="1" min="2" max="2"/>
    <col width="6" customWidth="1" min="3" max="3"/>
    <col width="10" customWidth="1" min="4" max="4"/>
    <col width="10" customWidth="1" min="5" max="5"/>
    <col width="10" customWidth="1" min="6" max="6"/>
    <col width="11" customWidth="1" min="7" max="7"/>
    <col width="11" customWidth="1" min="8" max="8"/>
    <col width="13" customWidth="1" min="9" max="9"/>
    <col width="13" customWidth="1" min="10" max="10"/>
    <col width="14" customWidth="1" min="11" max="11"/>
    <col width="42" customWidth="1" min="12" max="12"/>
  </cols>
  <sheetData>
    <row r="1" ht="22" customHeight="1">
      <c r="C1" s="1" t="inlineStr">
        <is>
          <t>Bill 6 - Timber Stud Partitions - Framing, Openings, Pattresses &amp; Fixings</t>
        </is>
      </c>
    </row>
    <row r="2" ht="26" customHeight="1">
      <c r="C2" s="33" t="inlineStr">
        <is>
          <t>Non-loadbearing timber stud partitions and riser boxing from the TLSTF model (44 panels, GF-IN1..22 and FF-IN1..22). Linings are in Bill 3, doorsets in Bill 4.  [NRM2 16 / package JOI]</t>
        </is>
      </c>
    </row>
    <row r="3" ht="4" customHeight="1">
      <c r="A3" s="3" t="n"/>
      <c r="B3" s="3" t="n"/>
      <c r="C3" s="3" t="n"/>
      <c r="D3" s="3" t="n"/>
      <c r="E3" s="3" t="n"/>
      <c r="F3" s="3" t="n"/>
      <c r="G3" s="3" t="n"/>
      <c r="H3" s="3" t="n"/>
      <c r="I3" s="3" t="n"/>
      <c r="J3" s="3" t="n"/>
      <c r="K3" s="3" t="n"/>
      <c r="L3" s="3" t="n"/>
    </row>
    <row r="4" ht="48" customHeight="1">
      <c r="A4" s="4"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quotation model and drawings; no allowance for waste is included unless stated. Plot C/D is the handed mirror of Plot A/B; quantities match except Bill 6. Rates and amounts are by others.</t>
        </is>
      </c>
    </row>
    <row r="6" ht="28" customHeight="1">
      <c r="A6" s="9" t="inlineStr">
        <is>
          <t>Ref</t>
        </is>
      </c>
      <c r="B6" s="9" t="inlineStr">
        <is>
          <t>Description</t>
        </is>
      </c>
      <c r="C6" s="9" t="inlineStr">
        <is>
          <t>Unit</t>
        </is>
      </c>
      <c r="D6" s="9" t="inlineStr">
        <is>
          <t>Plot A/B</t>
        </is>
      </c>
      <c r="E6" s="9" t="inlineStr">
        <is>
          <t>Plot C/D</t>
        </is>
      </c>
      <c r="F6" s="9" t="inlineStr">
        <is>
          <t>Total qty</t>
        </is>
      </c>
      <c r="G6" s="9" t="inlineStr">
        <is>
          <t>Supply rate
£</t>
        </is>
      </c>
      <c r="H6" s="9" t="inlineStr">
        <is>
          <t>Install rate
£</t>
        </is>
      </c>
      <c r="I6" s="9" t="inlineStr">
        <is>
          <t>Supply
£</t>
        </is>
      </c>
      <c r="J6" s="9" t="inlineStr">
        <is>
          <t>Install
£</t>
        </is>
      </c>
      <c r="K6" s="9" t="inlineStr">
        <is>
          <t>Line total
£</t>
        </is>
      </c>
      <c r="L6" s="9" t="inlineStr">
        <is>
          <t>Notes</t>
        </is>
      </c>
    </row>
    <row r="7">
      <c r="A7" s="30" t="inlineStr">
        <is>
          <t>6A  Timber stud partitions, non-loadbearing - framing (NRM2 16 / package JOI)</t>
        </is>
      </c>
    </row>
    <row r="8" ht="39" customHeight="1">
      <c r="B8" s="34" t="inlineStr">
        <is>
          <t>C16 softwood stud partitions to the TLSTF model and drawings ES26-081-TF-01 / TF-02: studs, head and bottom rails, mid-height noggins. Measured on the wall centre line, length x full height per level (GF 2,575, FF 2,450), gross - door openings NOT deducted (forming openings is measured in 6C). Rate 6A per m2 for framing LABOUR; enter a 6A Supply rate only when pricing a composite m2 rate - otherwise price timber supply in 6B, not both. Plasterboard, tape and skim are in Bill 3.</t>
        </is>
      </c>
    </row>
    <row r="9" ht="26" customHeight="1">
      <c r="A9" s="10" t="inlineStr">
        <is>
          <t>6A.1</t>
        </is>
      </c>
      <c r="B9" s="10" t="inlineStr">
        <is>
          <t>Ground floor partitions, 2,575 high: 38 x 89 C16 studs at 600 c/c, 38 x 89 head and bottom rails (general partitions)</t>
        </is>
      </c>
      <c r="C9" s="10" t="inlineStr">
        <is>
          <t>m2</t>
        </is>
      </c>
      <c r="D9" s="35" t="n">
        <v>29.01</v>
      </c>
      <c r="E9" s="35" t="n">
        <v>29.01</v>
      </c>
      <c r="F9" s="35">
        <f>D9+E9</f>
        <v/>
      </c>
      <c r="G9" s="36" t="n"/>
      <c r="H9" s="36" t="n"/>
      <c r="I9" s="11">
        <f>F9*G9</f>
        <v/>
      </c>
      <c r="J9" s="11">
        <f>F9*H9</f>
        <v/>
      </c>
      <c r="K9" s="37">
        <f>I9+J9</f>
        <v/>
      </c>
      <c r="L9" s="38" t="inlineStr">
        <is>
          <t>Length 11.26 m per plot x 2.575 m</t>
        </is>
      </c>
    </row>
    <row r="10" ht="26" customHeight="1">
      <c r="A10" s="10" t="inlineStr">
        <is>
          <t>6A.2</t>
        </is>
      </c>
      <c r="B10" s="10" t="inlineStr">
        <is>
          <t>Ground floor partitions, 2,575 high: 38 x 89 C16 studs at 400 c/c, 38 x 89 rails (bathroom walls, pattressed)</t>
        </is>
      </c>
      <c r="C10" s="10" t="inlineStr">
        <is>
          <t>m2</t>
        </is>
      </c>
      <c r="D10" s="35" t="n">
        <v>17.32</v>
      </c>
      <c r="E10" s="35" t="n">
        <v>17.32</v>
      </c>
      <c r="F10" s="35">
        <f>D10+E10</f>
        <v/>
      </c>
      <c r="G10" s="36" t="n"/>
      <c r="H10" s="36" t="n"/>
      <c r="I10" s="11">
        <f>F10*G10</f>
        <v/>
      </c>
      <c r="J10" s="11">
        <f>F10*H10</f>
        <v/>
      </c>
      <c r="K10" s="37">
        <f>I10+J10</f>
        <v/>
      </c>
      <c r="L10" s="38" t="inlineStr">
        <is>
          <t>Length 6.73 m per plot x 2.575 m</t>
        </is>
      </c>
    </row>
    <row r="11" ht="26" customHeight="1">
      <c r="A11" s="10" t="inlineStr">
        <is>
          <t>6A.3</t>
        </is>
      </c>
      <c r="B11" s="10" t="inlineStr">
        <is>
          <t>Ground floor partitions, 2,575 high: 38 x 47 C16 studs at 600 c/c, 38 x 47 rails (riser / pipe boxing)</t>
        </is>
      </c>
      <c r="C11" s="10" t="inlineStr">
        <is>
          <t>m2</t>
        </is>
      </c>
      <c r="D11" s="35" t="n">
        <v>2.56</v>
      </c>
      <c r="E11" s="35" t="n">
        <v>2.56</v>
      </c>
      <c r="F11" s="35">
        <f>D11+E11</f>
        <v/>
      </c>
      <c r="G11" s="36" t="n"/>
      <c r="H11" s="36" t="n"/>
      <c r="I11" s="11">
        <f>F11*G11</f>
        <v/>
      </c>
      <c r="J11" s="11">
        <f>F11*H11</f>
        <v/>
      </c>
      <c r="K11" s="37">
        <f>I11+J11</f>
        <v/>
      </c>
      <c r="L11" s="38" t="inlineStr">
        <is>
          <t>Length 0.99 m per plot x 2.575 m</t>
        </is>
      </c>
    </row>
    <row r="12" ht="26" customHeight="1">
      <c r="A12" s="10" t="inlineStr">
        <is>
          <t>6A.4</t>
        </is>
      </c>
      <c r="B12" s="10" t="inlineStr">
        <is>
          <t>First floor partitions, 2,450 high: 38 x 89 C16 studs at 600 c/c, 38 x 89 head and bottom rails (general partitions)</t>
        </is>
      </c>
      <c r="C12" s="10" t="inlineStr">
        <is>
          <t>m2</t>
        </is>
      </c>
      <c r="D12" s="35" t="n">
        <v>27.67</v>
      </c>
      <c r="E12" s="35" t="n">
        <v>27.67</v>
      </c>
      <c r="F12" s="35">
        <f>D12+E12</f>
        <v/>
      </c>
      <c r="G12" s="36" t="n"/>
      <c r="H12" s="36" t="n"/>
      <c r="I12" s="11">
        <f>F12*G12</f>
        <v/>
      </c>
      <c r="J12" s="11">
        <f>F12*H12</f>
        <v/>
      </c>
      <c r="K12" s="37">
        <f>I12+J12</f>
        <v/>
      </c>
      <c r="L12" s="38" t="inlineStr">
        <is>
          <t>Length 11.29 m per plot x 2.450 m</t>
        </is>
      </c>
    </row>
    <row r="13" ht="26" customHeight="1">
      <c r="A13" s="10" t="inlineStr">
        <is>
          <t>6A.5</t>
        </is>
      </c>
      <c r="B13" s="10" t="inlineStr">
        <is>
          <t>First floor partitions, 2,450 high: 38 x 89 C16 studs at 400 c/c, 38 x 89 rails (bathroom walls, pattressed)</t>
        </is>
      </c>
      <c r="C13" s="10" t="inlineStr">
        <is>
          <t>m2</t>
        </is>
      </c>
      <c r="D13" s="35" t="n">
        <v>16.48</v>
      </c>
      <c r="E13" s="35" t="n">
        <v>16.48</v>
      </c>
      <c r="F13" s="35">
        <f>D13+E13</f>
        <v/>
      </c>
      <c r="G13" s="36" t="n"/>
      <c r="H13" s="36" t="n"/>
      <c r="I13" s="11">
        <f>F13*G13</f>
        <v/>
      </c>
      <c r="J13" s="11">
        <f>F13*H13</f>
        <v/>
      </c>
      <c r="K13" s="37">
        <f>I13+J13</f>
        <v/>
      </c>
      <c r="L13" s="38" t="inlineStr">
        <is>
          <t>Length 6.73 m per plot x 2.450 m</t>
        </is>
      </c>
    </row>
    <row r="14" ht="26" customHeight="1">
      <c r="A14" s="10" t="inlineStr">
        <is>
          <t>6A.6</t>
        </is>
      </c>
      <c r="B14" s="10" t="inlineStr">
        <is>
          <t>First floor partitions, 2,450 high: 38 x 47 C16 studs at 600 c/c, 38 x 47 rails (riser / pipe boxing)</t>
        </is>
      </c>
      <c r="C14" s="10" t="inlineStr">
        <is>
          <t>m2</t>
        </is>
      </c>
      <c r="D14" s="35" t="n">
        <v>2.43</v>
      </c>
      <c r="E14" s="35" t="n">
        <v>2.43</v>
      </c>
      <c r="F14" s="35">
        <f>D14+E14</f>
        <v/>
      </c>
      <c r="G14" s="36" t="n"/>
      <c r="H14" s="36" t="n"/>
      <c r="I14" s="11">
        <f>F14*G14</f>
        <v/>
      </c>
      <c r="J14" s="11">
        <f>F14*H14</f>
        <v/>
      </c>
      <c r="K14" s="37">
        <f>I14+J14</f>
        <v/>
      </c>
      <c r="L14" s="38" t="inlineStr">
        <is>
          <t>Length 0.99 m per plot x 2.450 m</t>
        </is>
      </c>
    </row>
    <row r="15">
      <c r="A15" s="30" t="inlineStr">
        <is>
          <t>6B  Partition timber - supply by section and grade (NRM2 16 / package JOI)</t>
        </is>
      </c>
    </row>
    <row r="16" ht="26" customHeight="1">
      <c r="B16" s="34" t="inlineStr">
        <is>
          <t>Linear metres of C16 sawn softwood from the TLSTF model member cut lengths (pieces in Notes). Order guide in 4.8 m lengths = run x 1.05 / 4.8, not cut-optimised (as the TF sheets). Door-gap bottom-rail pieces cut out on site are not measured. Supply only - framing labour is in 6A / 6C.</t>
        </is>
      </c>
    </row>
    <row r="17" ht="26" customHeight="1">
      <c r="A17" s="10" t="inlineStr">
        <is>
          <t>6B.1</t>
        </is>
      </c>
      <c r="B17" s="10" t="inlineStr">
        <is>
          <t>38 x 89 C16 kiln-dried sawn softwood: studs, king studs and cripple / board-support studs</t>
        </is>
      </c>
      <c r="C17" s="10" t="inlineStr">
        <is>
          <t>m</t>
        </is>
      </c>
      <c r="D17" s="35" t="n">
        <v>256.02</v>
      </c>
      <c r="E17" s="35" t="n">
        <v>258.26</v>
      </c>
      <c r="F17" s="35">
        <f>D17+E17</f>
        <v/>
      </c>
      <c r="G17" s="36" t="n"/>
      <c r="H17" s="36" t="n"/>
      <c r="I17" s="11">
        <f>F17*G17</f>
        <v/>
      </c>
      <c r="J17" s="11">
        <f>F17*H17</f>
        <v/>
      </c>
      <c r="K17" s="37">
        <f>I17+J17</f>
        <v/>
      </c>
      <c r="L17" s="38" t="inlineStr">
        <is>
          <t>139 / 140 pieces (A/B / C/D)</t>
        </is>
      </c>
    </row>
    <row r="18" ht="26" customHeight="1">
      <c r="A18" s="10" t="inlineStr">
        <is>
          <t>6B.2</t>
        </is>
      </c>
      <c r="B18" s="10" t="inlineStr">
        <is>
          <t>38 x 89 C16 kiln-dried sawn softwood: head and bottom rails, incl. door head rails</t>
        </is>
      </c>
      <c r="C18" s="10" t="inlineStr">
        <is>
          <t>m</t>
        </is>
      </c>
      <c r="D18" s="35" t="n">
        <v>71.97</v>
      </c>
      <c r="E18" s="35" t="n">
        <v>71.97</v>
      </c>
      <c r="F18" s="35">
        <f>D18+E18</f>
        <v/>
      </c>
      <c r="G18" s="36" t="n"/>
      <c r="H18" s="36" t="n"/>
      <c r="I18" s="11">
        <f>F18*G18</f>
        <v/>
      </c>
      <c r="J18" s="11">
        <f>F18*H18</f>
        <v/>
      </c>
      <c r="K18" s="37">
        <f>I18+J18</f>
        <v/>
      </c>
      <c r="L18" s="38" t="inlineStr">
        <is>
          <t>58 / 58 pieces (A/B / C/D)</t>
        </is>
      </c>
    </row>
    <row r="19" ht="26" customHeight="1">
      <c r="A19" s="10" t="inlineStr">
        <is>
          <t>6B.3</t>
        </is>
      </c>
      <c r="B19" s="10" t="inlineStr">
        <is>
          <t>38 x 89 C16 kiln-dried sawn softwood: noggins (mid-height, fixing and board support)</t>
        </is>
      </c>
      <c r="C19" s="10" t="inlineStr">
        <is>
          <t>m</t>
        </is>
      </c>
      <c r="D19" s="35" t="n">
        <v>21.11</v>
      </c>
      <c r="E19" s="35" t="n">
        <v>21.07</v>
      </c>
      <c r="F19" s="35">
        <f>D19+E19</f>
        <v/>
      </c>
      <c r="G19" s="36" t="n"/>
      <c r="H19" s="36" t="n"/>
      <c r="I19" s="11">
        <f>F19*G19</f>
        <v/>
      </c>
      <c r="J19" s="11">
        <f>F19*H19</f>
        <v/>
      </c>
      <c r="K19" s="37">
        <f>I19+J19</f>
        <v/>
      </c>
      <c r="L19" s="38" t="inlineStr">
        <is>
          <t>69 / 70 pieces (A/B / C/D)</t>
        </is>
      </c>
    </row>
    <row r="20" ht="15" customHeight="1">
      <c r="A20" s="10" t="inlineStr">
        <is>
          <t>6B.4</t>
        </is>
      </c>
      <c r="B20" s="10" t="inlineStr">
        <is>
          <t>38 x 47 C16 kiln-dried sawn softwood: studs (riser boxing)</t>
        </is>
      </c>
      <c r="C20" s="10" t="inlineStr">
        <is>
          <t>m</t>
        </is>
      </c>
      <c r="D20" s="35" t="n">
        <v>24.32</v>
      </c>
      <c r="E20" s="35" t="n">
        <v>24.32</v>
      </c>
      <c r="F20" s="35">
        <f>D20+E20</f>
        <v/>
      </c>
      <c r="G20" s="36" t="n"/>
      <c r="H20" s="36" t="n"/>
      <c r="I20" s="11">
        <f>F20*G20</f>
        <v/>
      </c>
      <c r="J20" s="11">
        <f>F20*H20</f>
        <v/>
      </c>
      <c r="K20" s="37">
        <f>I20+J20</f>
        <v/>
      </c>
      <c r="L20" s="38" t="inlineStr">
        <is>
          <t>10 / 10 pieces (A/B / C/D)</t>
        </is>
      </c>
    </row>
    <row r="21" ht="26" customHeight="1">
      <c r="A21" s="10" t="inlineStr">
        <is>
          <t>6B.5</t>
        </is>
      </c>
      <c r="B21" s="10" t="inlineStr">
        <is>
          <t>38 x 47 C16 kiln-dried sawn softwood: head and bottom rails (riser boxing)</t>
        </is>
      </c>
      <c r="C21" s="10" t="inlineStr">
        <is>
          <t>m</t>
        </is>
      </c>
      <c r="D21" s="35" t="n">
        <v>3.95</v>
      </c>
      <c r="E21" s="35" t="n">
        <v>3.95</v>
      </c>
      <c r="F21" s="35">
        <f>D21+E21</f>
        <v/>
      </c>
      <c r="G21" s="36" t="n"/>
      <c r="H21" s="36" t="n"/>
      <c r="I21" s="11">
        <f>F21*G21</f>
        <v/>
      </c>
      <c r="J21" s="11">
        <f>F21*H21</f>
        <v/>
      </c>
      <c r="K21" s="37">
        <f>I21+J21</f>
        <v/>
      </c>
      <c r="L21" s="38" t="inlineStr">
        <is>
          <t>8 / 8 pieces (A/B / C/D)</t>
        </is>
      </c>
    </row>
    <row r="22" ht="26" customHeight="1">
      <c r="A22" s="10" t="inlineStr">
        <is>
          <t>6B.6</t>
        </is>
      </c>
      <c r="B22" s="10" t="inlineStr">
        <is>
          <t>38 x 47 C16 kiln-dried sawn softwood: noggins (riser boxing)</t>
        </is>
      </c>
      <c r="C22" s="10" t="inlineStr">
        <is>
          <t>m</t>
        </is>
      </c>
      <c r="D22" s="35" t="n">
        <v>1.58</v>
      </c>
      <c r="E22" s="35" t="n">
        <v>1.58</v>
      </c>
      <c r="F22" s="35">
        <f>D22+E22</f>
        <v/>
      </c>
      <c r="G22" s="36" t="n"/>
      <c r="H22" s="36" t="n"/>
      <c r="I22" s="11">
        <f>F22*G22</f>
        <v/>
      </c>
      <c r="J22" s="11">
        <f>F22*H22</f>
        <v/>
      </c>
      <c r="K22" s="37">
        <f>I22+J22</f>
        <v/>
      </c>
      <c r="L22" s="38" t="inlineStr">
        <is>
          <t>6 / 6 pieces (A/B / C/D)</t>
        </is>
      </c>
    </row>
    <row r="23" ht="26" customHeight="1">
      <c r="A23" s="41" t="inlineStr">
        <is>
          <t>6B.7</t>
        </is>
      </c>
      <c r="B23" s="41" t="inlineStr">
        <is>
          <t>38 x 89 C16 - 4.8 m lengths to order (run +5%, not cut-optimised)</t>
        </is>
      </c>
      <c r="C23" s="41" t="inlineStr">
        <is>
          <t>nr</t>
        </is>
      </c>
      <c r="D23" s="42" t="n">
        <v>77</v>
      </c>
      <c r="E23" s="42" t="n">
        <v>77</v>
      </c>
      <c r="F23" s="42">
        <f>D23+E23</f>
        <v/>
      </c>
      <c r="G23" s="43" t="n"/>
      <c r="H23" s="43" t="n"/>
      <c r="I23" s="43" t="n"/>
      <c r="J23" s="43" t="n"/>
      <c r="K23" s="44" t="inlineStr">
        <is>
          <t>not priced</t>
        </is>
      </c>
      <c r="L23" s="45" t="inlineStr">
        <is>
          <t>Ordering guide only - not priced in addition to the runs above</t>
        </is>
      </c>
    </row>
    <row r="24" ht="26" customHeight="1">
      <c r="A24" s="41" t="inlineStr">
        <is>
          <t>6B.8</t>
        </is>
      </c>
      <c r="B24" s="41" t="inlineStr">
        <is>
          <t>38 x 47 C16 - 4.8 m lengths to order (run +5%, not cut-optimised)</t>
        </is>
      </c>
      <c r="C24" s="41" t="inlineStr">
        <is>
          <t>nr</t>
        </is>
      </c>
      <c r="D24" s="42" t="n">
        <v>7</v>
      </c>
      <c r="E24" s="42" t="n">
        <v>7</v>
      </c>
      <c r="F24" s="42">
        <f>D24+E24</f>
        <v/>
      </c>
      <c r="G24" s="43" t="n"/>
      <c r="H24" s="43" t="n"/>
      <c r="I24" s="43" t="n"/>
      <c r="J24" s="43" t="n"/>
      <c r="K24" s="44" t="inlineStr">
        <is>
          <t>not priced</t>
        </is>
      </c>
      <c r="L24" s="45" t="inlineStr">
        <is>
          <t>Ordering guide only - not priced in addition to the runs above</t>
        </is>
      </c>
    </row>
    <row r="25">
      <c r="A25" s="30" t="inlineStr">
        <is>
          <t>6C  Forming door openings in partitions (NRM2 16 / package JOI)</t>
        </is>
      </c>
    </row>
    <row r="26" ht="26" customHeight="1">
      <c r="B26" s="34" t="inlineStr">
        <is>
          <t>Per opening, from the TLSTF model: 2 full-height king studs, 38 x 89 head rail at 2,100 above the bottom rail, cripple studs over the head (2 board-support cripples at the jambs plus intermediates on the stud grid) and the bottom rail cut out across the gap. Timber is in 6B; the rate is per opening (labour; supply only for extra fixings / packers).</t>
        </is>
      </c>
    </row>
    <row r="27" ht="26" customHeight="1">
      <c r="A27" s="10" t="inlineStr">
        <is>
          <t>6C.1</t>
        </is>
      </c>
      <c r="B27" s="10" t="inlineStr">
        <is>
          <t>Form door opening 610 wide x 2,100 high in 89 partition (cupboard): 2 king studs, head rail 610, 4 cripple studs over</t>
        </is>
      </c>
      <c r="C27" s="10" t="inlineStr">
        <is>
          <t>nr</t>
        </is>
      </c>
      <c r="D27" s="35" t="n">
        <v>1</v>
      </c>
      <c r="E27" s="35" t="n">
        <v>1</v>
      </c>
      <c r="F27" s="35">
        <f>D27+E27</f>
        <v/>
      </c>
      <c r="G27" s="36" t="n"/>
      <c r="H27" s="36" t="n"/>
      <c r="I27" s="11">
        <f>F27*G27</f>
        <v/>
      </c>
      <c r="J27" s="11">
        <f>F27*H27</f>
        <v/>
      </c>
      <c r="K27" s="37">
        <f>I27+J27</f>
        <v/>
      </c>
      <c r="L27" s="38" t="inlineStr">
        <is>
          <t>GF 0 / FF 2 (both plots); doorsets in Bill 4</t>
        </is>
      </c>
    </row>
    <row r="28" ht="39" customHeight="1">
      <c r="A28" s="10" t="inlineStr">
        <is>
          <t>6C.2</t>
        </is>
      </c>
      <c r="B28" s="10" t="inlineStr">
        <is>
          <t>Form door opening 810 wide x 2,100 high in 89 partition (store / cupboard): 2 king studs, head rail 810, 3 cripple studs over</t>
        </is>
      </c>
      <c r="C28" s="10" t="inlineStr">
        <is>
          <t>nr</t>
        </is>
      </c>
      <c r="D28" s="35" t="n">
        <v>2</v>
      </c>
      <c r="E28" s="35" t="n">
        <v>2</v>
      </c>
      <c r="F28" s="35">
        <f>D28+E28</f>
        <v/>
      </c>
      <c r="G28" s="36" t="n"/>
      <c r="H28" s="36" t="n"/>
      <c r="I28" s="11">
        <f>F28*G28</f>
        <v/>
      </c>
      <c r="J28" s="11">
        <f>F28*H28</f>
        <v/>
      </c>
      <c r="K28" s="37">
        <f>I28+J28</f>
        <v/>
      </c>
      <c r="L28" s="38" t="inlineStr">
        <is>
          <t>GF 2 / FF 2 (both plots); doorsets in Bill 4</t>
        </is>
      </c>
    </row>
    <row r="29" ht="39" customHeight="1">
      <c r="A29" s="10" t="inlineStr">
        <is>
          <t>6C.3</t>
        </is>
      </c>
      <c r="B29" s="10" t="inlineStr">
        <is>
          <t>Form door opening 910 wide x 2,100 high in 89 partition (room door): 2 king studs, head rail 910, 3 or 4 cripple studs over</t>
        </is>
      </c>
      <c r="C29" s="10" t="inlineStr">
        <is>
          <t>nr</t>
        </is>
      </c>
      <c r="D29" s="35" t="n">
        <v>6</v>
      </c>
      <c r="E29" s="35" t="n">
        <v>6</v>
      </c>
      <c r="F29" s="35">
        <f>D29+E29</f>
        <v/>
      </c>
      <c r="G29" s="36" t="n"/>
      <c r="H29" s="36" t="n"/>
      <c r="I29" s="11">
        <f>F29*G29</f>
        <v/>
      </c>
      <c r="J29" s="11">
        <f>F29*H29</f>
        <v/>
      </c>
      <c r="K29" s="37">
        <f>I29+J29</f>
        <v/>
      </c>
      <c r="L29" s="38" t="inlineStr">
        <is>
          <t>GF 6 / FF 6 (both plots); doorsets in Bill 4</t>
        </is>
      </c>
    </row>
    <row r="30" ht="39" customHeight="1">
      <c r="A30" s="10" t="inlineStr">
        <is>
          <t>6C.4</t>
        </is>
      </c>
      <c r="B30" s="10" t="inlineStr">
        <is>
          <t>Form door opening 1,210 wide x 2,100 high in 89 partition (cupboard pair): 2 king studs, head rail 1,210, 3 or 4 cripple studs over</t>
        </is>
      </c>
      <c r="C30" s="10" t="inlineStr">
        <is>
          <t>nr</t>
        </is>
      </c>
      <c r="D30" s="35" t="n">
        <v>2</v>
      </c>
      <c r="E30" s="35" t="n">
        <v>2</v>
      </c>
      <c r="F30" s="35">
        <f>D30+E30</f>
        <v/>
      </c>
      <c r="G30" s="36" t="n"/>
      <c r="H30" s="36" t="n"/>
      <c r="I30" s="11">
        <f>F30*G30</f>
        <v/>
      </c>
      <c r="J30" s="11">
        <f>F30*H30</f>
        <v/>
      </c>
      <c r="K30" s="37">
        <f>I30+J30</f>
        <v/>
      </c>
      <c r="L30" s="38" t="inlineStr">
        <is>
          <t>GF 2 / FF 2 (both plots); doorsets in Bill 4</t>
        </is>
      </c>
    </row>
    <row r="31">
      <c r="A31" s="30" t="inlineStr">
        <is>
          <t>6D  Pattresses, noggins to floor and roof structure, head restraint (NRM2 16 / package JOI)</t>
        </is>
      </c>
    </row>
    <row r="32" ht="39" customHeight="1">
      <c r="B32" s="34" t="inlineStr">
        <is>
          <t>From the LEP2 build reports and the TLSTF extract. Pattress: 18 mm WBP plywood between studs on the bathroom face of the 400 c/c walls for sanitaryware and fittings. Floor noggins between the PS10 metal-web joists where a partition runs parallel to them (GF head fixing and FF bottom-rail support). Ceiling noggins between truss bottom chords where an FF partition runs parallel; slotted head-restraint clips allow truss deflection.</t>
        </is>
      </c>
    </row>
    <row r="33" ht="26" customHeight="1">
      <c r="A33" s="10" t="inlineStr">
        <is>
          <t>6D.1</t>
        </is>
      </c>
      <c r="B33" s="10" t="inlineStr">
        <is>
          <t>18 mm WBP plywood pattress boards between studs, bathroom face, cut to fit (bands 150-1,950 above floor)</t>
        </is>
      </c>
      <c r="C33" s="10" t="inlineStr">
        <is>
          <t>m2</t>
        </is>
      </c>
      <c r="D33" s="35" t="n">
        <v>16.66</v>
      </c>
      <c r="E33" s="35" t="n">
        <v>16.68</v>
      </c>
      <c r="F33" s="35">
        <f>D33+E33</f>
        <v/>
      </c>
      <c r="G33" s="36" t="n"/>
      <c r="H33" s="36" t="n"/>
      <c r="I33" s="11">
        <f>F33*G33</f>
        <v/>
      </c>
      <c r="J33" s="11">
        <f>F33*H33</f>
        <v/>
      </c>
      <c r="K33" s="37">
        <f>I33+J33</f>
        <v/>
      </c>
      <c r="L33" s="38" t="inlineStr">
        <is>
          <t>54 / 58 pieces (A/B / C/D); handed walls differ slightly</t>
        </is>
      </c>
    </row>
    <row r="34" ht="26" customHeight="1">
      <c r="A34" s="10" t="inlineStr">
        <is>
          <t>6D.2</t>
        </is>
      </c>
      <c r="B34" s="10" t="inlineStr">
        <is>
          <t>Noggins 47 x 250 C24 x 301 long between floor joists over partitions, skew-nailed or on hangers</t>
        </is>
      </c>
      <c r="C34" s="10" t="inlineStr">
        <is>
          <t>nr</t>
        </is>
      </c>
      <c r="D34" s="35" t="n">
        <v>15</v>
      </c>
      <c r="E34" s="35" t="n">
        <v>15</v>
      </c>
      <c r="F34" s="35">
        <f>D34+E34</f>
        <v/>
      </c>
      <c r="G34" s="36" t="n"/>
      <c r="H34" s="36" t="n"/>
      <c r="I34" s="11">
        <f>F34*G34</f>
        <v/>
      </c>
      <c r="J34" s="11">
        <f>F34*H34</f>
        <v/>
      </c>
      <c r="K34" s="37">
        <f>I34+J34</f>
        <v/>
      </c>
      <c r="L34" s="38" t="inlineStr">
        <is>
          <t>9.03 m in total; at max 600 c/c plus ends and door jambs</t>
        </is>
      </c>
    </row>
    <row r="35" ht="26" customHeight="1">
      <c r="A35" s="10" t="inlineStr">
        <is>
          <t>6D.3</t>
        </is>
      </c>
      <c r="B35" s="10" t="inlineStr">
        <is>
          <t>Noggins 47 x 72 C24 x 528 long between truss bottom chords over FF partitions</t>
        </is>
      </c>
      <c r="C35" s="10" t="inlineStr">
        <is>
          <t>nr</t>
        </is>
      </c>
      <c r="D35" s="35" t="n">
        <v>31</v>
      </c>
      <c r="E35" s="35" t="n">
        <v>31</v>
      </c>
      <c r="F35" s="35">
        <f>D35+E35</f>
        <v/>
      </c>
      <c r="G35" s="36" t="n"/>
      <c r="H35" s="36" t="n"/>
      <c r="I35" s="11">
        <f>F35*G35</f>
        <v/>
      </c>
      <c r="J35" s="11">
        <f>F35*H35</f>
        <v/>
      </c>
      <c r="K35" s="37">
        <f>I35+J35</f>
        <v/>
      </c>
      <c r="L35" s="38" t="inlineStr">
        <is>
          <t>32.74 m in total</t>
        </is>
      </c>
    </row>
    <row r="36" ht="39" customHeight="1">
      <c r="A36" s="10" t="inlineStr">
        <is>
          <t>6D.4</t>
        </is>
      </c>
      <c r="B36" s="10" t="inlineStr">
        <is>
          <t>Partition head-restraint clip, slotted (Simpson Strong-Tie STC or UK equivalent - confirm), FF head rail to truss chord / noggin</t>
        </is>
      </c>
      <c r="C36" s="10" t="inlineStr">
        <is>
          <t>nr</t>
        </is>
      </c>
      <c r="D36" s="35" t="n">
        <v>45</v>
      </c>
      <c r="E36" s="35" t="n">
        <v>45</v>
      </c>
      <c r="F36" s="35">
        <f>D36+E36</f>
        <v/>
      </c>
      <c r="G36" s="36" t="n"/>
      <c r="H36" s="36" t="n"/>
      <c r="I36" s="11">
        <f>F36*G36</f>
        <v/>
      </c>
      <c r="J36" s="11">
        <f>F36*H36</f>
        <v/>
      </c>
      <c r="K36" s="37">
        <f>I36+J36</f>
        <v/>
      </c>
      <c r="L36" s="38" t="inlineStr">
        <is>
          <t>5 mm deflection gap kept at the head</t>
        </is>
      </c>
    </row>
    <row r="37">
      <c r="A37" s="30" t="inlineStr">
        <is>
          <t>6E  Fixings and sundries (NRM2 16 / package JOI)</t>
        </is>
      </c>
    </row>
    <row r="38" ht="13" customHeight="1">
      <c r="B38" s="34" t="inlineStr">
        <is>
          <t>Bottom rail fixings measured along the rail length (door gaps excluded). Fixing types are proposals - confirm with the designer.</t>
        </is>
      </c>
    </row>
    <row r="39" ht="39" customHeight="1">
      <c r="A39" s="10" t="inlineStr">
        <is>
          <t>6E.1</t>
        </is>
      </c>
      <c r="B39" s="10" t="inlineStr">
        <is>
          <t>Fix GF bottom rails to the ground-bearing slab / screed: concrete screws or shot-fired fixings at max 600 c/c, on DPC strip (confirm)</t>
        </is>
      </c>
      <c r="C39" s="10" t="inlineStr">
        <is>
          <t>m</t>
        </is>
      </c>
      <c r="D39" s="35" t="n">
        <v>14.22</v>
      </c>
      <c r="E39" s="35" t="n">
        <v>14.22</v>
      </c>
      <c r="F39" s="35">
        <f>D39+E39</f>
        <v/>
      </c>
      <c r="G39" s="36" t="n"/>
      <c r="H39" s="36" t="n"/>
      <c r="I39" s="11">
        <f>F39*G39</f>
        <v/>
      </c>
      <c r="J39" s="11">
        <f>F39*H39</f>
        <v/>
      </c>
      <c r="K39" s="37">
        <f>I39+J39</f>
        <v/>
      </c>
      <c r="L39" s="38" t="inlineStr">
        <is>
          <t>GF bottom rail length</t>
        </is>
      </c>
    </row>
    <row r="40" ht="26" customHeight="1">
      <c r="A40" s="10" t="inlineStr">
        <is>
          <t>6E.2</t>
        </is>
      </c>
      <c r="B40" s="10" t="inlineStr">
        <is>
          <t>Fix FF bottom rails through the deck into joists / floor noggins</t>
        </is>
      </c>
      <c r="C40" s="10" t="inlineStr">
        <is>
          <t>m</t>
        </is>
      </c>
      <c r="D40" s="35" t="n">
        <v>13.64</v>
      </c>
      <c r="E40" s="35" t="n">
        <v>13.64</v>
      </c>
      <c r="F40" s="35">
        <f>D40+E40</f>
        <v/>
      </c>
      <c r="G40" s="36" t="n"/>
      <c r="H40" s="36" t="n"/>
      <c r="I40" s="11">
        <f>F40*G40</f>
        <v/>
      </c>
      <c r="J40" s="11">
        <f>F40*H40</f>
        <v/>
      </c>
      <c r="K40" s="37">
        <f>I40+J40</f>
        <v/>
      </c>
      <c r="L40" s="38" t="inlineStr">
        <is>
          <t>FF bottom rail length</t>
        </is>
      </c>
    </row>
    <row r="41" ht="26" customHeight="1">
      <c r="A41" s="10" t="inlineStr">
        <is>
          <t>6E.3</t>
        </is>
      </c>
      <c r="B41" s="10" t="inlineStr">
        <is>
          <t>Head rail fixings: GF heads to joist bottom chords / floor noggins; FF heads via the 6D.4 clips</t>
        </is>
      </c>
      <c r="C41" s="10" t="inlineStr">
        <is>
          <t>item</t>
        </is>
      </c>
      <c r="D41" s="35" t="n"/>
      <c r="E41" s="35" t="n"/>
      <c r="F41" s="35" t="n"/>
      <c r="G41" s="36" t="n"/>
      <c r="H41" s="36" t="n"/>
      <c r="I41" s="11">
        <f>IF(ISNUMBER(F41),F41,1)*G41</f>
        <v/>
      </c>
      <c r="J41" s="11">
        <f>IF(ISNUMBER(F41),F41,1)*H41</f>
        <v/>
      </c>
      <c r="K41" s="37">
        <f>I41+J41</f>
        <v/>
      </c>
      <c r="L41" s="38" t="inlineStr">
        <is>
          <t>Lump sum - the rate entered is the amount. Labour and fixings</t>
        </is>
      </c>
    </row>
    <row r="42" ht="26" customHeight="1">
      <c r="A42" s="10" t="inlineStr">
        <is>
          <t>6E.4</t>
        </is>
      </c>
      <c r="B42" s="10" t="inlineStr">
        <is>
          <t>Nails, screws, framing fixings and sundries for the partition framing</t>
        </is>
      </c>
      <c r="C42" s="10" t="inlineStr">
        <is>
          <t>item</t>
        </is>
      </c>
      <c r="D42" s="35" t="n"/>
      <c r="E42" s="35" t="n"/>
      <c r="F42" s="35" t="n"/>
      <c r="G42" s="36" t="n"/>
      <c r="H42" s="36" t="n"/>
      <c r="I42" s="11">
        <f>IF(ISNUMBER(F42),F42,1)*G42</f>
        <v/>
      </c>
      <c r="J42" s="11">
        <f>IF(ISNUMBER(F42),F42,1)*H42</f>
        <v/>
      </c>
      <c r="K42" s="37">
        <f>I42+J42</f>
        <v/>
      </c>
      <c r="L42" s="38" t="inlineStr">
        <is>
          <t xml:space="preserve">Lump sum - the rate entered is the amount. </t>
        </is>
      </c>
    </row>
    <row r="44" ht="20" customHeight="1">
      <c r="A44" s="23" t="inlineStr">
        <is>
          <t>PACKAGE SUMMARY  -  Bill 6  Timber Stud Partitions - Framing, Openings, Pattresses &amp; Fixings  (package JOI; amounts by others, excl. VAT)</t>
        </is>
      </c>
    </row>
    <row r="45" ht="28" customHeight="1">
      <c r="A45" s="9" t="inlineStr">
        <is>
          <t>Section</t>
        </is>
      </c>
      <c r="B45" s="9" t="inlineStr">
        <is>
          <t>Description</t>
        </is>
      </c>
      <c r="C45" s="26" t="n"/>
      <c r="D45" s="26" t="n"/>
      <c r="E45" s="26" t="n"/>
      <c r="F45" s="26" t="n"/>
      <c r="G45" s="26" t="n"/>
      <c r="H45" s="27" t="n"/>
      <c r="I45" s="9" t="inlineStr">
        <is>
          <t>Supply
£</t>
        </is>
      </c>
      <c r="J45" s="9" t="inlineStr">
        <is>
          <t>Install
£</t>
        </is>
      </c>
      <c r="K45" s="9" t="inlineStr">
        <is>
          <t>Total
£</t>
        </is>
      </c>
      <c r="L45" s="9" t="inlineStr"/>
    </row>
    <row r="46" ht="16" customHeight="1">
      <c r="A46" s="39" t="inlineStr">
        <is>
          <t>6A</t>
        </is>
      </c>
      <c r="B46" s="10" t="inlineStr">
        <is>
          <t>Timber stud partitions, non-loadbearing - framing (NRM2 16 / package JOI)</t>
        </is>
      </c>
      <c r="C46" s="16" t="n"/>
      <c r="D46" s="16" t="n"/>
      <c r="E46" s="16" t="n"/>
      <c r="F46" s="16" t="n"/>
      <c r="G46" s="16" t="n"/>
      <c r="H46" s="16" t="n"/>
      <c r="I46" s="11">
        <f>SUM(I8:I14)</f>
        <v/>
      </c>
      <c r="J46" s="11">
        <f>SUM(J8:J14)</f>
        <v/>
      </c>
      <c r="K46" s="37">
        <f>SUM(K8:K14)</f>
        <v/>
      </c>
    </row>
    <row r="47" ht="16" customHeight="1">
      <c r="A47" s="39" t="inlineStr">
        <is>
          <t>6B</t>
        </is>
      </c>
      <c r="B47" s="10" t="inlineStr">
        <is>
          <t>Partition timber - supply by section and grade (NRM2 16 / package JOI)</t>
        </is>
      </c>
      <c r="C47" s="16" t="n"/>
      <c r="D47" s="16" t="n"/>
      <c r="E47" s="16" t="n"/>
      <c r="F47" s="16" t="n"/>
      <c r="G47" s="16" t="n"/>
      <c r="H47" s="16" t="n"/>
      <c r="I47" s="11">
        <f>SUM(I16:I24)</f>
        <v/>
      </c>
      <c r="J47" s="11">
        <f>SUM(J16:J24)</f>
        <v/>
      </c>
      <c r="K47" s="37">
        <f>SUM(K16:K24)</f>
        <v/>
      </c>
    </row>
    <row r="48" ht="16" customHeight="1">
      <c r="A48" s="39" t="inlineStr">
        <is>
          <t>6C</t>
        </is>
      </c>
      <c r="B48" s="10" t="inlineStr">
        <is>
          <t>Forming door openings in partitions (NRM2 16 / package JOI)</t>
        </is>
      </c>
      <c r="C48" s="16" t="n"/>
      <c r="D48" s="16" t="n"/>
      <c r="E48" s="16" t="n"/>
      <c r="F48" s="16" t="n"/>
      <c r="G48" s="16" t="n"/>
      <c r="H48" s="16" t="n"/>
      <c r="I48" s="11">
        <f>SUM(I26:I30)</f>
        <v/>
      </c>
      <c r="J48" s="11">
        <f>SUM(J26:J30)</f>
        <v/>
      </c>
      <c r="K48" s="37">
        <f>SUM(K26:K30)</f>
        <v/>
      </c>
    </row>
    <row r="49" ht="16" customHeight="1">
      <c r="A49" s="39" t="inlineStr">
        <is>
          <t>6D</t>
        </is>
      </c>
      <c r="B49" s="10" t="inlineStr">
        <is>
          <t>Pattresses, noggins to floor and roof structure, head restraint (NRM2 16 / package JOI)</t>
        </is>
      </c>
      <c r="C49" s="16" t="n"/>
      <c r="D49" s="16" t="n"/>
      <c r="E49" s="16" t="n"/>
      <c r="F49" s="16" t="n"/>
      <c r="G49" s="16" t="n"/>
      <c r="H49" s="16" t="n"/>
      <c r="I49" s="11">
        <f>SUM(I32:I36)</f>
        <v/>
      </c>
      <c r="J49" s="11">
        <f>SUM(J32:J36)</f>
        <v/>
      </c>
      <c r="K49" s="37">
        <f>SUM(K32:K36)</f>
        <v/>
      </c>
    </row>
    <row r="50" ht="16" customHeight="1">
      <c r="A50" s="39" t="inlineStr">
        <is>
          <t>6E</t>
        </is>
      </c>
      <c r="B50" s="10" t="inlineStr">
        <is>
          <t>Fixings and sundries (NRM2 16 / package JOI)</t>
        </is>
      </c>
      <c r="C50" s="16" t="n"/>
      <c r="D50" s="16" t="n"/>
      <c r="E50" s="16" t="n"/>
      <c r="F50" s="16" t="n"/>
      <c r="G50" s="16" t="n"/>
      <c r="H50" s="16" t="n"/>
      <c r="I50" s="11">
        <f>SUM(I38:I42)</f>
        <v/>
      </c>
      <c r="J50" s="11">
        <f>SUM(J38:J42)</f>
        <v/>
      </c>
      <c r="K50" s="37">
        <f>SUM(K38:K42)</f>
        <v/>
      </c>
    </row>
    <row r="51" ht="20" customHeight="1">
      <c r="A51" s="40" t="inlineStr">
        <is>
          <t>PACKAGE TOTAL - Bill 6, carried to the Cover overview</t>
        </is>
      </c>
      <c r="I51" s="13">
        <f>SUM(I46:I50)</f>
        <v/>
      </c>
      <c r="J51" s="13">
        <f>SUM(J46:J50)</f>
        <v/>
      </c>
      <c r="K51" s="13">
        <f>SUM(K46:K50)</f>
        <v/>
      </c>
    </row>
    <row r="52" ht="24" customHeight="1">
      <c r="A52" s="21" t="inlineStr">
        <is>
          <t>Pale-yellow cells are the only inputs (Supply rate, Install rate). Amounts, subtotals and totals are formulas; the sheet is protected without a password (Review &gt; Unprotect Sheet). Amounts exclude VAT and are NOT part of the Nudura ICF price.</t>
        </is>
      </c>
    </row>
  </sheetData>
  <sheetProtection selectLockedCells="0" selectUnlockedCells="0" sheet="1" objects="0" insertRows="1" insertHyperlinks="1" autoFilter="1" scenarios="0" formatColumns="0" deleteColumns="1" insertColumns="1" pivotTables="1" deleteRows="1" formatCells="1" formatRows="0" sort="1"/>
  <mergeCells count="22">
    <mergeCell ref="B26:L26"/>
    <mergeCell ref="A7:L7"/>
    <mergeCell ref="A25:L25"/>
    <mergeCell ref="B16:L16"/>
    <mergeCell ref="B49:H49"/>
    <mergeCell ref="A51:H51"/>
    <mergeCell ref="A37:L37"/>
    <mergeCell ref="B45:H45"/>
    <mergeCell ref="B50:H50"/>
    <mergeCell ref="B47:H47"/>
    <mergeCell ref="A4:L4"/>
    <mergeCell ref="B46:H46"/>
    <mergeCell ref="B8:L8"/>
    <mergeCell ref="A52:L52"/>
    <mergeCell ref="B38:L38"/>
    <mergeCell ref="A31:L31"/>
    <mergeCell ref="A44:L44"/>
    <mergeCell ref="B48:H48"/>
    <mergeCell ref="C1:L1"/>
    <mergeCell ref="A15:L15"/>
    <mergeCell ref="B32:L32"/>
    <mergeCell ref="C2:L2"/>
  </mergeCells>
  <printOptions horizontalCentered="1"/>
  <pageMargins left="0.75" right="0.75" top="0.7" bottom="0.75" header="0.5" footer="0.5"/>
  <pageSetup orientation="landscape" paperSize="9" fitToHeight="0" fitToWidth="1"/>
  <headerFooter>
    <oddHeader>&amp;L&amp;8 BuildEase  |  ES26-081 Lon Eilian, Caernarfon  |  Beech Developments&amp;R&amp;8 Bill of Quantities Package - Ancillary Trades - Issue 01</oddHeader>
    <oddFooter>&amp;L&amp;7 &amp;KC98A1BSupplied in good faith for guidance only. NOT part of the Nudura ICF price. Check and verify with the appropriate professional before use. No waste unless stated.&amp;R&amp;8 Page &amp;P of &amp;N</oddFooter>
    <evenHeader/>
    <evenFooter/>
    <firstHeader/>
    <firstFooter/>
  </headerFooter>
  <drawing xmlns:r="http://schemas.openxmlformats.org/officeDocument/2006/relationships" r:id="rId1"/>
</worksheet>
</file>

<file path=xl/worksheets/sheet10.xml><?xml version="1.0" encoding="utf-8"?>
<worksheet xmlns="http://schemas.openxmlformats.org/spreadsheetml/2006/main">
  <sheetPr>
    <outlinePr summaryBelow="1" summaryRight="1"/>
    <pageSetUpPr fitToPage="1"/>
  </sheetPr>
  <dimension ref="A1:I24"/>
  <sheetViews>
    <sheetView showGridLines="0" workbookViewId="0">
      <pane ySplit="6" topLeftCell="A7" activePane="bottomLeft" state="frozen"/>
      <selection pane="bottomLeft" activeCell="A1" sqref="A1"/>
    </sheetView>
  </sheetViews>
  <sheetFormatPr baseColWidth="8" defaultRowHeight="15"/>
  <cols>
    <col width="6" customWidth="1" min="1" max="1"/>
    <col width="9" customWidth="1" min="2" max="2"/>
    <col width="34" customWidth="1" min="3" max="3"/>
    <col width="11" customWidth="1" min="4" max="4"/>
    <col width="11" customWidth="1" min="5" max="5"/>
    <col width="11" customWidth="1" min="6" max="6"/>
    <col width="11" customWidth="1" min="7" max="7"/>
    <col width="11" customWidth="1" min="8" max="8"/>
    <col width="50" customWidth="1" min="9" max="9"/>
  </cols>
  <sheetData>
    <row r="1" ht="22" customHeight="1">
      <c r="C1" s="1" t="inlineStr">
        <is>
          <t>Schedule A - Floor Areas by Room (per plot)</t>
        </is>
      </c>
    </row>
    <row r="2" ht="18" customHeight="1">
      <c r="C2" s="2" t="inlineStr">
        <is>
          <t>Drawn schedule vs geometry check. Adopted = drawn area, else geometry. Not priced.</t>
        </is>
      </c>
    </row>
    <row r="3" ht="4" customHeight="1">
      <c r="A3" s="3" t="n"/>
      <c r="B3" s="3" t="n"/>
      <c r="C3" s="3" t="n"/>
      <c r="D3" s="3" t="n"/>
      <c r="E3" s="3" t="n"/>
      <c r="F3" s="3" t="n"/>
      <c r="G3" s="3" t="n"/>
      <c r="H3" s="3" t="n"/>
      <c r="I3" s="3" t="n"/>
    </row>
    <row r="4" ht="48" customHeight="1">
      <c r="A4" s="4"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quotation model and drawings; no allowance for waste is included unless stated. Plot C/D is the handed mirror of Plot A/B; quantities match except Bill 6. Rates and amounts are by others.</t>
        </is>
      </c>
    </row>
    <row r="6" ht="28" customHeight="1">
      <c r="A6" s="9" t="inlineStr">
        <is>
          <t>Level</t>
        </is>
      </c>
      <c r="B6" s="9" t="inlineStr">
        <is>
          <t>Flat</t>
        </is>
      </c>
      <c r="C6" s="9" t="inlineStr">
        <is>
          <t>Room</t>
        </is>
      </c>
      <c r="D6" s="9" t="inlineStr">
        <is>
          <t>Drawn m2</t>
        </is>
      </c>
      <c r="E6" s="9" t="inlineStr">
        <is>
          <t>Geometry m2</t>
        </is>
      </c>
      <c r="F6" s="9" t="inlineStr">
        <is>
          <t>Adopted A/B m2</t>
        </is>
      </c>
      <c r="G6" s="9" t="inlineStr">
        <is>
          <t>C/D m2</t>
        </is>
      </c>
      <c r="H6" s="9" t="inlineStr">
        <is>
          <t>Total m2</t>
        </is>
      </c>
      <c r="I6" s="9" t="inlineStr">
        <is>
          <t>Notes</t>
        </is>
      </c>
    </row>
    <row r="7">
      <c r="A7" s="10" t="inlineStr">
        <is>
          <t>GF</t>
        </is>
      </c>
      <c r="B7" s="10" t="inlineStr">
        <is>
          <t>GF flat</t>
        </is>
      </c>
      <c r="C7" s="10" t="inlineStr">
        <is>
          <t>Living/Kitchen</t>
        </is>
      </c>
      <c r="D7" s="50" t="n">
        <v>20.6</v>
      </c>
      <c r="E7" s="50" t="n">
        <v>20.57</v>
      </c>
      <c r="F7" s="50" t="n">
        <v>20.6</v>
      </c>
      <c r="G7" s="50">
        <f>F7</f>
        <v/>
      </c>
      <c r="H7" s="50">
        <f>F7+G7</f>
        <v/>
      </c>
      <c r="I7" s="10" t="inlineStr"/>
    </row>
    <row r="8">
      <c r="A8" s="10" t="inlineStr">
        <is>
          <t>GF</t>
        </is>
      </c>
      <c r="B8" s="10" t="inlineStr">
        <is>
          <t>GF flat</t>
        </is>
      </c>
      <c r="C8" s="10" t="inlineStr">
        <is>
          <t>Cupboard (G8/G9, unlabelled)</t>
        </is>
      </c>
      <c r="D8" s="50" t="n"/>
      <c r="E8" s="50" t="n">
        <v>0.72</v>
      </c>
      <c r="F8" s="50" t="n">
        <v>0.72</v>
      </c>
      <c r="G8" s="50">
        <f>F8</f>
        <v/>
      </c>
      <c r="H8" s="50">
        <f>F8+G8</f>
        <v/>
      </c>
      <c r="I8" s="10" t="inlineStr">
        <is>
          <t>not named on drawing</t>
        </is>
      </c>
    </row>
    <row r="9">
      <c r="A9" s="10" t="inlineStr">
        <is>
          <t>GF</t>
        </is>
      </c>
      <c r="B9" s="10" t="inlineStr">
        <is>
          <t>GF flat</t>
        </is>
      </c>
      <c r="C9" s="10" t="inlineStr">
        <is>
          <t>Bathroom</t>
        </is>
      </c>
      <c r="D9" s="50" t="n">
        <v>4.5</v>
      </c>
      <c r="E9" s="50" t="n">
        <v>4.51</v>
      </c>
      <c r="F9" s="50" t="n">
        <v>4.5</v>
      </c>
      <c r="G9" s="50">
        <f>F9</f>
        <v/>
      </c>
      <c r="H9" s="50">
        <f>F9+G9</f>
        <v/>
      </c>
      <c r="I9" s="10" t="inlineStr"/>
    </row>
    <row r="10">
      <c r="A10" s="10" t="inlineStr">
        <is>
          <t>GF</t>
        </is>
      </c>
      <c r="B10" s="10" t="inlineStr">
        <is>
          <t>GF flat</t>
        </is>
      </c>
      <c r="C10" s="10" t="inlineStr">
        <is>
          <t>Hall</t>
        </is>
      </c>
      <c r="D10" s="50" t="n">
        <v>5.5</v>
      </c>
      <c r="E10" s="50" t="n">
        <v>5.51</v>
      </c>
      <c r="F10" s="50" t="n">
        <v>5.5</v>
      </c>
      <c r="G10" s="50">
        <f>F10</f>
        <v/>
      </c>
      <c r="H10" s="50">
        <f>F10+G10</f>
        <v/>
      </c>
      <c r="I10" s="10" t="inlineStr"/>
    </row>
    <row r="11">
      <c r="A11" s="10" t="inlineStr">
        <is>
          <t>GF</t>
        </is>
      </c>
      <c r="B11" s="10" t="inlineStr">
        <is>
          <t>GF flat</t>
        </is>
      </c>
      <c r="C11" s="10" t="inlineStr">
        <is>
          <t>Bedroom 1</t>
        </is>
      </c>
      <c r="D11" s="50" t="n">
        <v>13.3</v>
      </c>
      <c r="E11" s="50" t="n">
        <v>13.27</v>
      </c>
      <c r="F11" s="50" t="n">
        <v>13.3</v>
      </c>
      <c r="G11" s="50">
        <f>F11</f>
        <v/>
      </c>
      <c r="H11" s="50">
        <f>F11+G11</f>
        <v/>
      </c>
      <c r="I11" s="10" t="inlineStr"/>
    </row>
    <row r="12">
      <c r="A12" s="10" t="inlineStr">
        <is>
          <t>GF</t>
        </is>
      </c>
      <c r="B12" s="10" t="inlineStr">
        <is>
          <t>GF flat</t>
        </is>
      </c>
      <c r="C12" s="10" t="inlineStr">
        <is>
          <t>A/C / Laundry</t>
        </is>
      </c>
      <c r="D12" s="50" t="n">
        <v>0.9</v>
      </c>
      <c r="E12" s="50" t="n">
        <v>0.95</v>
      </c>
      <c r="F12" s="50" t="n">
        <v>0.9</v>
      </c>
      <c r="G12" s="50">
        <f>F12</f>
        <v/>
      </c>
      <c r="H12" s="50">
        <f>F12+G12</f>
        <v/>
      </c>
      <c r="I12" s="10" t="inlineStr"/>
    </row>
    <row r="13">
      <c r="A13" s="10" t="inlineStr">
        <is>
          <t>GF</t>
        </is>
      </c>
      <c r="B13" s="10" t="inlineStr">
        <is>
          <t>GF flat</t>
        </is>
      </c>
      <c r="C13" s="10" t="inlineStr">
        <is>
          <t>Store (under stair, via W_c)</t>
        </is>
      </c>
      <c r="D13" s="50" t="n">
        <v>2.9</v>
      </c>
      <c r="E13" s="50" t="n">
        <v>3.24</v>
      </c>
      <c r="F13" s="50" t="n">
        <v>2.9</v>
      </c>
      <c r="G13" s="50">
        <f>F13</f>
        <v/>
      </c>
      <c r="H13" s="50">
        <f>F13+G13</f>
        <v/>
      </c>
      <c r="I13" s="10" t="inlineStr">
        <is>
          <t>geometry = full plan area under stair; drawn 2.9 (headroom)</t>
        </is>
      </c>
    </row>
    <row r="14">
      <c r="A14" s="10" t="inlineStr">
        <is>
          <t>GF</t>
        </is>
      </c>
      <c r="B14" s="10" t="inlineStr">
        <is>
          <t>FF flat</t>
        </is>
      </c>
      <c r="C14" s="10" t="inlineStr">
        <is>
          <t>Stairs / entrance lobby (FF flat)</t>
        </is>
      </c>
      <c r="D14" s="50" t="n">
        <v>2.5</v>
      </c>
      <c r="E14" s="50" t="n">
        <v>3.05</v>
      </c>
      <c r="F14" s="50" t="n">
        <v>2.5</v>
      </c>
      <c r="G14" s="50">
        <f>F14</f>
        <v/>
      </c>
      <c r="H14" s="50">
        <f>F14+G14</f>
        <v/>
      </c>
      <c r="I14" s="10" t="inlineStr">
        <is>
          <t>drawn 2.5 (GIFA 2.4); geometry incl. stair foot</t>
        </is>
      </c>
    </row>
    <row r="15">
      <c r="A15" s="10" t="inlineStr">
        <is>
          <t>FF</t>
        </is>
      </c>
      <c r="B15" s="10" t="inlineStr">
        <is>
          <t>FF flat</t>
        </is>
      </c>
      <c r="C15" s="10" t="inlineStr">
        <is>
          <t>Living/Kitchen</t>
        </is>
      </c>
      <c r="D15" s="50" t="n">
        <v>20.6</v>
      </c>
      <c r="E15" s="50" t="n">
        <v>20.57</v>
      </c>
      <c r="F15" s="50" t="n">
        <v>20.6</v>
      </c>
      <c r="G15" s="50">
        <f>F15</f>
        <v/>
      </c>
      <c r="H15" s="50">
        <f>F15+G15</f>
        <v/>
      </c>
      <c r="I15" s="10" t="inlineStr"/>
    </row>
    <row r="16">
      <c r="A16" s="10" t="inlineStr">
        <is>
          <t>FF</t>
        </is>
      </c>
      <c r="B16" s="10" t="inlineStr">
        <is>
          <t>FF flat</t>
        </is>
      </c>
      <c r="C16" s="10" t="inlineStr">
        <is>
          <t>Cupboard (F6/F7, unlabelled)</t>
        </is>
      </c>
      <c r="D16" s="50" t="n"/>
      <c r="E16" s="50" t="n">
        <v>0.72</v>
      </c>
      <c r="F16" s="50" t="n">
        <v>0.72</v>
      </c>
      <c r="G16" s="50">
        <f>F16</f>
        <v/>
      </c>
      <c r="H16" s="50">
        <f>F16+G16</f>
        <v/>
      </c>
      <c r="I16" s="10" t="inlineStr">
        <is>
          <t>not named on drawing</t>
        </is>
      </c>
    </row>
    <row r="17">
      <c r="A17" s="10" t="inlineStr">
        <is>
          <t>FF</t>
        </is>
      </c>
      <c r="B17" s="10" t="inlineStr">
        <is>
          <t>FF flat</t>
        </is>
      </c>
      <c r="C17" s="10" t="inlineStr">
        <is>
          <t>Bathroom</t>
        </is>
      </c>
      <c r="D17" s="50" t="n">
        <v>4.5</v>
      </c>
      <c r="E17" s="50" t="n">
        <v>4.51</v>
      </c>
      <c r="F17" s="50" t="n">
        <v>4.5</v>
      </c>
      <c r="G17" s="50">
        <f>F17</f>
        <v/>
      </c>
      <c r="H17" s="50">
        <f>F17+G17</f>
        <v/>
      </c>
      <c r="I17" s="10" t="inlineStr"/>
    </row>
    <row r="18">
      <c r="A18" s="10" t="inlineStr">
        <is>
          <t>FF</t>
        </is>
      </c>
      <c r="B18" s="10" t="inlineStr">
        <is>
          <t>FF flat</t>
        </is>
      </c>
      <c r="C18" s="10" t="inlineStr">
        <is>
          <t>Hall + landing (incl. stair well)</t>
        </is>
      </c>
      <c r="D18" s="50" t="n">
        <v>10.5</v>
      </c>
      <c r="E18" s="50" t="n">
        <v>6.88</v>
      </c>
      <c r="F18" s="50" t="n">
        <v>10.5</v>
      </c>
      <c r="G18" s="50">
        <f>F18</f>
        <v/>
      </c>
      <c r="H18" s="50">
        <f>F18+G18</f>
        <v/>
      </c>
      <c r="I18" s="10" t="inlineStr">
        <is>
          <t>geometry excl. stair void 1.94; drawn 10.5 incl. void + landing</t>
        </is>
      </c>
    </row>
    <row r="19">
      <c r="A19" s="10" t="inlineStr">
        <is>
          <t>FF</t>
        </is>
      </c>
      <c r="B19" s="10" t="inlineStr">
        <is>
          <t>FF flat</t>
        </is>
      </c>
      <c r="C19" s="10" t="inlineStr">
        <is>
          <t>Bedroom 1</t>
        </is>
      </c>
      <c r="D19" s="50" t="n">
        <v>13.3</v>
      </c>
      <c r="E19" s="50" t="n">
        <v>13.27</v>
      </c>
      <c r="F19" s="50" t="n">
        <v>13.3</v>
      </c>
      <c r="G19" s="50">
        <f>F19</f>
        <v/>
      </c>
      <c r="H19" s="50">
        <f>F19+G19</f>
        <v/>
      </c>
      <c r="I19" s="10" t="inlineStr"/>
    </row>
    <row r="20">
      <c r="A20" s="10" t="inlineStr">
        <is>
          <t>FF</t>
        </is>
      </c>
      <c r="B20" s="10" t="inlineStr">
        <is>
          <t>FF flat</t>
        </is>
      </c>
      <c r="C20" s="10" t="inlineStr">
        <is>
          <t>A/C / Laundry</t>
        </is>
      </c>
      <c r="D20" s="50" t="n">
        <v>0.9</v>
      </c>
      <c r="E20" s="50" t="n">
        <v>0.86</v>
      </c>
      <c r="F20" s="50" t="n">
        <v>0.9</v>
      </c>
      <c r="G20" s="50">
        <f>F20</f>
        <v/>
      </c>
      <c r="H20" s="50">
        <f>F20+G20</f>
        <v/>
      </c>
      <c r="I20" s="10" t="inlineStr"/>
    </row>
    <row r="21">
      <c r="A21" s="10" t="inlineStr">
        <is>
          <t>FF</t>
        </is>
      </c>
      <c r="B21" s="10" t="inlineStr">
        <is>
          <t>FF flat</t>
        </is>
      </c>
      <c r="C21" s="10" t="inlineStr">
        <is>
          <t>Store</t>
        </is>
      </c>
      <c r="D21" s="50" t="n">
        <v>1.1</v>
      </c>
      <c r="E21" s="50" t="n">
        <v>1.05</v>
      </c>
      <c r="F21" s="50" t="n">
        <v>1.1</v>
      </c>
      <c r="G21" s="50">
        <f>F21</f>
        <v/>
      </c>
      <c r="H21" s="50">
        <f>F21+G21</f>
        <v/>
      </c>
      <c r="I21" s="10" t="inlineStr"/>
    </row>
    <row r="22">
      <c r="C22" s="51" t="inlineStr">
        <is>
          <t>GF rooms total</t>
        </is>
      </c>
      <c r="F22" s="52">
        <f>SUMIF(A7:A21,"GF",F7:F21)</f>
        <v/>
      </c>
      <c r="G22" s="52">
        <f>SUMIF(A7:A21,"GF",G7:G21)</f>
        <v/>
      </c>
      <c r="H22" s="52">
        <f>SUMIF(A7:A21,"GF",H7:H21)</f>
        <v/>
      </c>
    </row>
    <row r="23">
      <c r="C23" s="51" t="inlineStr">
        <is>
          <t>FF rooms total</t>
        </is>
      </c>
      <c r="F23" s="52">
        <f>SUMIF(A7:A21,"FF",F7:F21)</f>
        <v/>
      </c>
      <c r="G23" s="52">
        <f>SUMIF(A7:A21,"FF",G7:G21)</f>
        <v/>
      </c>
      <c r="H23" s="52">
        <f>SUMIF(A7:A21,"FF",H7:H21)</f>
        <v/>
      </c>
    </row>
    <row r="24">
      <c r="C24" s="53" t="inlineStr">
        <is>
          <t>Drawing GIFA: GF flat 53.0 m2; FF flat 54.0 m2 + 2.4 m2 at GF = 56.4 m2 (per flat)</t>
        </is>
      </c>
    </row>
  </sheetData>
  <sheetProtection selectLockedCells="0" selectUnlockedCells="0" sheet="1" objects="0" insertRows="1" insertHyperlinks="1" autoFilter="1" scenarios="0" formatColumns="0" deleteColumns="1" insertColumns="1" pivotTables="1" deleteRows="1" formatCells="1" formatRows="0" sort="1"/>
  <mergeCells count="3">
    <mergeCell ref="C1:I1"/>
    <mergeCell ref="A4:I4"/>
    <mergeCell ref="C2:I2"/>
  </mergeCells>
  <printOptions horizontalCentered="1"/>
  <pageMargins left="0.75" right="0.75" top="0.7" bottom="0.75" header="0.5" footer="0.5"/>
  <pageSetup orientation="landscape" paperSize="9" fitToHeight="0" fitToWidth="1"/>
  <headerFooter>
    <oddHeader>&amp;L&amp;8 BuildEase  |  ES26-081 Lon Eilian, Caernarfon  |  Beech Developments&amp;R&amp;8 Bill of Quantities Package - Ancillary Trades - Issue 01</oddHeader>
    <oddFooter>&amp;L&amp;7 &amp;KC98A1BSupplied in good faith for guidance only. NOT part of the Nudura ICF price. Check and verify with the appropriate professional before use. No waste unless stated.&amp;R&amp;8 Page &amp;P of &amp;N</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outlinePr summaryBelow="1" summaryRight="1"/>
    <pageSetUpPr fitToPage="1"/>
  </sheetPr>
  <dimension ref="A1:K44"/>
  <sheetViews>
    <sheetView showGridLines="0" workbookViewId="0">
      <pane ySplit="6" topLeftCell="A7" activePane="bottomLeft" state="frozen"/>
      <selection pane="bottomLeft" activeCell="A1" sqref="A1"/>
    </sheetView>
  </sheetViews>
  <sheetFormatPr baseColWidth="8" defaultRowHeight="15"/>
  <cols>
    <col width="13" customWidth="1" min="1" max="1"/>
    <col width="6" customWidth="1" min="2" max="2"/>
    <col width="6" customWidth="1" min="3" max="3"/>
    <col width="22" customWidth="1" min="4" max="4"/>
    <col width="8" customWidth="1" min="5" max="5"/>
    <col width="8" customWidth="1" min="6" max="6"/>
    <col width="8" customWidth="1" min="7" max="7"/>
    <col width="9" customWidth="1" min="8" max="8"/>
    <col width="9" customWidth="1" min="9" max="9"/>
    <col width="18" customWidth="1" min="10" max="10"/>
    <col width="40" customWidth="1" min="11" max="11"/>
  </cols>
  <sheetData>
    <row r="1" ht="22" customHeight="1">
      <c r="C1" s="1" t="inlineStr">
        <is>
          <t>Schedule B - Structural Opening Schedule (both plots)</t>
        </is>
      </c>
    </row>
    <row r="2" ht="18" customHeight="1">
      <c r="C2" s="2" t="inlineStr">
        <is>
          <t>From the quotation model. Sill and head from FFL 0. Not priced.</t>
        </is>
      </c>
    </row>
    <row r="3" ht="4" customHeight="1">
      <c r="A3" s="3" t="n"/>
      <c r="B3" s="3" t="n"/>
      <c r="C3" s="3" t="n"/>
      <c r="D3" s="3" t="n"/>
      <c r="E3" s="3" t="n"/>
      <c r="F3" s="3" t="n"/>
      <c r="G3" s="3" t="n"/>
      <c r="H3" s="3" t="n"/>
      <c r="I3" s="3" t="n"/>
      <c r="J3" s="3" t="n"/>
      <c r="K3" s="3" t="n"/>
    </row>
    <row r="4" ht="48" customHeight="1">
      <c r="A4" s="4"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quotation model and drawings; no allowance for waste is included unless stated. Plot C/D is the handed mirror of Plot A/B; quantities match except Bill 6. Rates and amounts are by others.</t>
        </is>
      </c>
    </row>
    <row r="6" ht="28" customHeight="1">
      <c r="A6" s="9" t="inlineStr">
        <is>
          <t>Ref</t>
        </is>
      </c>
      <c r="B6" s="9" t="inlineStr">
        <is>
          <t>Plot</t>
        </is>
      </c>
      <c r="C6" s="9" t="inlineStr">
        <is>
          <t>Level</t>
        </is>
      </c>
      <c r="D6" s="9" t="inlineStr">
        <is>
          <t>Elevation</t>
        </is>
      </c>
      <c r="E6" s="9" t="inlineStr">
        <is>
          <t>Type</t>
        </is>
      </c>
      <c r="F6" s="9" t="inlineStr">
        <is>
          <t>W mm</t>
        </is>
      </c>
      <c r="G6" s="9" t="inlineStr">
        <is>
          <t>H mm</t>
        </is>
      </c>
      <c r="H6" s="9" t="inlineStr">
        <is>
          <t>Sill mm</t>
        </is>
      </c>
      <c r="I6" s="9" t="inlineStr">
        <is>
          <t>Head mm</t>
        </is>
      </c>
      <c r="J6" s="9" t="inlineStr">
        <is>
          <t>Wall</t>
        </is>
      </c>
      <c r="K6" s="9" t="inlineStr">
        <is>
          <t>Note</t>
        </is>
      </c>
    </row>
    <row r="7">
      <c r="A7" s="16" t="inlineStr">
        <is>
          <t>AB-L1-F01</t>
        </is>
      </c>
      <c r="B7" s="16" t="inlineStr">
        <is>
          <t>A/B</t>
        </is>
      </c>
      <c r="C7" s="16" t="inlineStr">
        <is>
          <t>GF</t>
        </is>
      </c>
      <c r="D7" s="16" t="inlineStr">
        <is>
          <t>Front</t>
        </is>
      </c>
      <c r="E7" s="16" t="inlineStr">
        <is>
          <t>window</t>
        </is>
      </c>
      <c r="F7" s="16" t="n">
        <v>1570</v>
      </c>
      <c r="G7" s="16" t="n">
        <v>1000</v>
      </c>
      <c r="H7" s="16" t="n">
        <v>1100</v>
      </c>
      <c r="I7" s="16" t="n">
        <v>2100</v>
      </c>
      <c r="J7" s="16" t="inlineStr">
        <is>
          <t>6in XR35 (355.6)</t>
        </is>
      </c>
      <c r="K7" s="16" t="inlineStr">
        <is>
          <t>GF kitchen (WG02)</t>
        </is>
      </c>
    </row>
    <row r="8">
      <c r="A8" s="16" t="inlineStr">
        <is>
          <t>AB-L1-F02</t>
        </is>
      </c>
      <c r="B8" s="16" t="inlineStr">
        <is>
          <t>A/B</t>
        </is>
      </c>
      <c r="C8" s="16" t="inlineStr">
        <is>
          <t>GF</t>
        </is>
      </c>
      <c r="D8" s="16" t="inlineStr">
        <is>
          <t>Front</t>
        </is>
      </c>
      <c r="E8" s="16" t="inlineStr">
        <is>
          <t>window</t>
        </is>
      </c>
      <c r="F8" s="16" t="n">
        <v>740</v>
      </c>
      <c r="G8" s="16" t="n">
        <v>1000</v>
      </c>
      <c r="H8" s="16" t="n">
        <v>1100</v>
      </c>
      <c r="I8" s="16" t="n">
        <v>2100</v>
      </c>
      <c r="J8" s="16" t="inlineStr">
        <is>
          <t>6in XR35 (355.6)</t>
        </is>
      </c>
      <c r="K8" s="16" t="inlineStr">
        <is>
          <t>GF bathroom</t>
        </is>
      </c>
    </row>
    <row r="9">
      <c r="A9" s="16" t="inlineStr">
        <is>
          <t>AB-L1-F03</t>
        </is>
      </c>
      <c r="B9" s="16" t="inlineStr">
        <is>
          <t>A/B</t>
        </is>
      </c>
      <c r="C9" s="16" t="inlineStr">
        <is>
          <t>GF</t>
        </is>
      </c>
      <c r="D9" s="16" t="inlineStr">
        <is>
          <t>Front</t>
        </is>
      </c>
      <c r="E9" s="16" t="inlineStr">
        <is>
          <t>door</t>
        </is>
      </c>
      <c r="F9" s="16" t="n">
        <v>1040</v>
      </c>
      <c r="G9" s="16" t="n">
        <v>2100</v>
      </c>
      <c r="H9" s="16" t="n">
        <v>0</v>
      </c>
      <c r="I9" s="16" t="n">
        <v>2100</v>
      </c>
      <c r="J9" s="16" t="inlineStr">
        <is>
          <t>6in XR35 (355.6)</t>
        </is>
      </c>
      <c r="K9" s="16" t="inlineStr">
        <is>
          <t>GF flat entrance door (XD02)</t>
        </is>
      </c>
    </row>
    <row r="10">
      <c r="A10" s="16" t="inlineStr">
        <is>
          <t>AB-L1-LF04</t>
        </is>
      </c>
      <c r="B10" s="16" t="inlineStr">
        <is>
          <t>A/B</t>
        </is>
      </c>
      <c r="C10" s="16" t="inlineStr">
        <is>
          <t>GF</t>
        </is>
      </c>
      <c r="D10" s="16" t="inlineStr">
        <is>
          <t>Stair-lobby front</t>
        </is>
      </c>
      <c r="E10" s="16" t="inlineStr">
        <is>
          <t>door</t>
        </is>
      </c>
      <c r="F10" s="16" t="n">
        <v>1040</v>
      </c>
      <c r="G10" s="16" t="n">
        <v>2100</v>
      </c>
      <c r="H10" s="16" t="n">
        <v>0</v>
      </c>
      <c r="I10" s="16" t="n">
        <v>2100</v>
      </c>
      <c r="J10" s="16" t="inlineStr">
        <is>
          <t>6in XR35 (355.6)</t>
        </is>
      </c>
      <c r="K10" s="16" t="inlineStr">
        <is>
          <t>FF flat entrance door, stair lobby (WG01)</t>
        </is>
      </c>
    </row>
    <row r="11">
      <c r="A11" s="16" t="inlineStr">
        <is>
          <t>AB-L1-LS05</t>
        </is>
      </c>
      <c r="B11" s="16" t="inlineStr">
        <is>
          <t>A/B</t>
        </is>
      </c>
      <c r="C11" s="16" t="inlineStr">
        <is>
          <t>GF</t>
        </is>
      </c>
      <c r="D11" s="16" t="inlineStr">
        <is>
          <t>Stair-lobby side</t>
        </is>
      </c>
      <c r="E11" s="16" t="inlineStr">
        <is>
          <t>window</t>
        </is>
      </c>
      <c r="F11" s="16" t="n">
        <v>710</v>
      </c>
      <c r="G11" s="16" t="n">
        <v>1300</v>
      </c>
      <c r="H11" s="16" t="n">
        <v>800</v>
      </c>
      <c r="I11" s="16" t="n">
        <v>2100</v>
      </c>
      <c r="J11" s="16" t="inlineStr">
        <is>
          <t>6in XR35 (355.6)</t>
        </is>
      </c>
      <c r="K11" s="16" t="inlineStr">
        <is>
          <t>stair lobby side window (site side elevation: as WG03)</t>
        </is>
      </c>
    </row>
    <row r="12">
      <c r="A12" s="16" t="inlineStr">
        <is>
          <t>AB-L1-WC06</t>
        </is>
      </c>
      <c r="B12" s="16" t="inlineStr">
        <is>
          <t>A/B</t>
        </is>
      </c>
      <c r="C12" s="16" t="inlineStr">
        <is>
          <t>GF</t>
        </is>
      </c>
      <c r="D12" s="16" t="inlineStr">
        <is>
          <t>Internal stair wall W_c</t>
        </is>
      </c>
      <c r="E12" s="16" t="inlineStr">
        <is>
          <t>door</t>
        </is>
      </c>
      <c r="F12" s="16" t="n">
        <v>900</v>
      </c>
      <c r="G12" s="16" t="n">
        <v>2100</v>
      </c>
      <c r="H12" s="16" t="n">
        <v>0</v>
      </c>
      <c r="I12" s="16" t="n">
        <v>2100</v>
      </c>
      <c r="J12" s="16" t="inlineStr">
        <is>
          <t>6in Std (285.75) - stair enclosure</t>
        </is>
      </c>
      <c r="K12" s="16" t="inlineStr">
        <is>
          <t>GF under-stair store door (6in Std stair wall)</t>
        </is>
      </c>
    </row>
    <row r="13">
      <c r="A13" s="16" t="inlineStr">
        <is>
          <t>AB-L1-R07</t>
        </is>
      </c>
      <c r="B13" s="16" t="inlineStr">
        <is>
          <t>A/B</t>
        </is>
      </c>
      <c r="C13" s="16" t="inlineStr">
        <is>
          <t>GF</t>
        </is>
      </c>
      <c r="D13" s="16" t="inlineStr">
        <is>
          <t>Rear</t>
        </is>
      </c>
      <c r="E13" s="16" t="inlineStr">
        <is>
          <t>door</t>
        </is>
      </c>
      <c r="F13" s="16" t="n">
        <v>1040</v>
      </c>
      <c r="G13" s="16" t="n">
        <v>2100</v>
      </c>
      <c r="H13" s="16" t="n">
        <v>0</v>
      </c>
      <c r="I13" s="16" t="n">
        <v>2100</v>
      </c>
      <c r="J13" s="16" t="inlineStr">
        <is>
          <t>6in XR35 (355.6)</t>
        </is>
      </c>
      <c r="K13" s="16" t="inlineStr">
        <is>
          <t>GF rear door, living/kitchen</t>
        </is>
      </c>
    </row>
    <row r="14">
      <c r="A14" s="16" t="inlineStr">
        <is>
          <t>AB-L1-R08</t>
        </is>
      </c>
      <c r="B14" s="16" t="inlineStr">
        <is>
          <t>A/B</t>
        </is>
      </c>
      <c r="C14" s="16" t="inlineStr">
        <is>
          <t>GF</t>
        </is>
      </c>
      <c r="D14" s="16" t="inlineStr">
        <is>
          <t>Rear</t>
        </is>
      </c>
      <c r="E14" s="16" t="inlineStr">
        <is>
          <t>window</t>
        </is>
      </c>
      <c r="F14" s="16" t="n">
        <v>1010</v>
      </c>
      <c r="G14" s="16" t="n">
        <v>1300</v>
      </c>
      <c r="H14" s="16" t="n">
        <v>800</v>
      </c>
      <c r="I14" s="16" t="n">
        <v>2100</v>
      </c>
      <c r="J14" s="16" t="inlineStr">
        <is>
          <t>6in XR35 (355.6)</t>
        </is>
      </c>
      <c r="K14" s="16" t="inlineStr">
        <is>
          <t>GF rear window, hall/bedroom</t>
        </is>
      </c>
    </row>
    <row r="15">
      <c r="A15" s="16" t="inlineStr">
        <is>
          <t>AB-L1-R09</t>
        </is>
      </c>
      <c r="B15" s="16" t="inlineStr">
        <is>
          <t>A/B</t>
        </is>
      </c>
      <c r="C15" s="16" t="inlineStr">
        <is>
          <t>GF</t>
        </is>
      </c>
      <c r="D15" s="16" t="inlineStr">
        <is>
          <t>Rear</t>
        </is>
      </c>
      <c r="E15" s="16" t="inlineStr">
        <is>
          <t>window</t>
        </is>
      </c>
      <c r="F15" s="16" t="n">
        <v>1580</v>
      </c>
      <c r="G15" s="16" t="n">
        <v>1300</v>
      </c>
      <c r="H15" s="16" t="n">
        <v>800</v>
      </c>
      <c r="I15" s="16" t="n">
        <v>2100</v>
      </c>
      <c r="J15" s="16" t="inlineStr">
        <is>
          <t>6in XR35 (355.6)</t>
        </is>
      </c>
      <c r="K15" s="16" t="inlineStr">
        <is>
          <t>GF bedroom window</t>
        </is>
      </c>
    </row>
    <row r="16">
      <c r="A16" s="16" t="inlineStr">
        <is>
          <t>AB-L1-G10</t>
        </is>
      </c>
      <c r="B16" s="16" t="inlineStr">
        <is>
          <t>A/B</t>
        </is>
      </c>
      <c r="C16" s="16" t="inlineStr">
        <is>
          <t>GF</t>
        </is>
      </c>
      <c r="D16" s="16" t="inlineStr">
        <is>
          <t>Gable</t>
        </is>
      </c>
      <c r="E16" s="16" t="inlineStr">
        <is>
          <t>window</t>
        </is>
      </c>
      <c r="F16" s="16" t="n">
        <v>730</v>
      </c>
      <c r="G16" s="16" t="n">
        <v>1300</v>
      </c>
      <c r="H16" s="16" t="n">
        <v>800</v>
      </c>
      <c r="I16" s="16" t="n">
        <v>2100</v>
      </c>
      <c r="J16" s="16" t="inlineStr">
        <is>
          <t>6in XR35 (355.6)</t>
        </is>
      </c>
      <c r="K16" s="16" t="inlineStr">
        <is>
          <t>GF gable window, living (WG03)</t>
        </is>
      </c>
    </row>
    <row r="17">
      <c r="A17" s="16" t="inlineStr">
        <is>
          <t>AB-L2-F11</t>
        </is>
      </c>
      <c r="B17" s="16" t="inlineStr">
        <is>
          <t>A/B</t>
        </is>
      </c>
      <c r="C17" s="16" t="inlineStr">
        <is>
          <t>FF</t>
        </is>
      </c>
      <c r="D17" s="16" t="inlineStr">
        <is>
          <t>Front</t>
        </is>
      </c>
      <c r="E17" s="16" t="inlineStr">
        <is>
          <t>window</t>
        </is>
      </c>
      <c r="F17" s="16" t="n">
        <v>1570</v>
      </c>
      <c r="G17" s="16" t="n">
        <v>1000</v>
      </c>
      <c r="H17" s="16" t="n">
        <v>3950</v>
      </c>
      <c r="I17" s="16" t="n">
        <v>4950</v>
      </c>
      <c r="J17" s="16" t="inlineStr">
        <is>
          <t>6in XR35 (355.6)</t>
        </is>
      </c>
      <c r="K17" s="16" t="inlineStr">
        <is>
          <t>FF kitchen</t>
        </is>
      </c>
    </row>
    <row r="18">
      <c r="A18" s="16" t="inlineStr">
        <is>
          <t>AB-L2-F12</t>
        </is>
      </c>
      <c r="B18" s="16" t="inlineStr">
        <is>
          <t>A/B</t>
        </is>
      </c>
      <c r="C18" s="16" t="inlineStr">
        <is>
          <t>FF</t>
        </is>
      </c>
      <c r="D18" s="16" t="inlineStr">
        <is>
          <t>Front</t>
        </is>
      </c>
      <c r="E18" s="16" t="inlineStr">
        <is>
          <t>window</t>
        </is>
      </c>
      <c r="F18" s="16" t="n">
        <v>740</v>
      </c>
      <c r="G18" s="16" t="n">
        <v>1000</v>
      </c>
      <c r="H18" s="16" t="n">
        <v>3950</v>
      </c>
      <c r="I18" s="16" t="n">
        <v>4950</v>
      </c>
      <c r="J18" s="16" t="inlineStr">
        <is>
          <t>6in XR35 (355.6)</t>
        </is>
      </c>
      <c r="K18" s="16" t="inlineStr">
        <is>
          <t>FF bathroom</t>
        </is>
      </c>
    </row>
    <row r="19">
      <c r="A19" s="16" t="inlineStr">
        <is>
          <t>AB-L2-F13</t>
        </is>
      </c>
      <c r="B19" s="16" t="inlineStr">
        <is>
          <t>A/B</t>
        </is>
      </c>
      <c r="C19" s="16" t="inlineStr">
        <is>
          <t>FF</t>
        </is>
      </c>
      <c r="D19" s="16" t="inlineStr">
        <is>
          <t>Front</t>
        </is>
      </c>
      <c r="E19" s="16" t="inlineStr">
        <is>
          <t>window</t>
        </is>
      </c>
      <c r="F19" s="16" t="n">
        <v>760</v>
      </c>
      <c r="G19" s="16" t="n">
        <v>1000</v>
      </c>
      <c r="H19" s="16" t="n">
        <v>3950</v>
      </c>
      <c r="I19" s="16" t="n">
        <v>4950</v>
      </c>
      <c r="J19" s="16" t="inlineStr">
        <is>
          <t>6in XR35 (355.6)</t>
        </is>
      </c>
      <c r="K19" s="16" t="inlineStr">
        <is>
          <t>FF A/C laundry</t>
        </is>
      </c>
    </row>
    <row r="20">
      <c r="A20" s="16" t="inlineStr">
        <is>
          <t>AB-L2-F14</t>
        </is>
      </c>
      <c r="B20" s="16" t="inlineStr">
        <is>
          <t>A/B</t>
        </is>
      </c>
      <c r="C20" s="16" t="inlineStr">
        <is>
          <t>FF</t>
        </is>
      </c>
      <c r="D20" s="16" t="inlineStr">
        <is>
          <t>Front</t>
        </is>
      </c>
      <c r="E20" s="16" t="inlineStr">
        <is>
          <t>window</t>
        </is>
      </c>
      <c r="F20" s="16" t="n">
        <v>770</v>
      </c>
      <c r="G20" s="16" t="n">
        <v>1000</v>
      </c>
      <c r="H20" s="16" t="n">
        <v>3950</v>
      </c>
      <c r="I20" s="16" t="n">
        <v>4950</v>
      </c>
      <c r="J20" s="16" t="inlineStr">
        <is>
          <t>6in XR35 (355.6)</t>
        </is>
      </c>
      <c r="K20" s="16" t="inlineStr">
        <is>
          <t>FF stair</t>
        </is>
      </c>
    </row>
    <row r="21">
      <c r="A21" s="16" t="inlineStr">
        <is>
          <t>AB-L2-R15</t>
        </is>
      </c>
      <c r="B21" s="16" t="inlineStr">
        <is>
          <t>A/B</t>
        </is>
      </c>
      <c r="C21" s="16" t="inlineStr">
        <is>
          <t>FF</t>
        </is>
      </c>
      <c r="D21" s="16" t="inlineStr">
        <is>
          <t>Rear</t>
        </is>
      </c>
      <c r="E21" s="16" t="inlineStr">
        <is>
          <t>window</t>
        </is>
      </c>
      <c r="F21" s="16" t="n">
        <v>750</v>
      </c>
      <c r="G21" s="16" t="n">
        <v>1300</v>
      </c>
      <c r="H21" s="16" t="n">
        <v>3650</v>
      </c>
      <c r="I21" s="16" t="n">
        <v>4950</v>
      </c>
      <c r="J21" s="16" t="inlineStr">
        <is>
          <t>6in XR35 (355.6)</t>
        </is>
      </c>
      <c r="K21" s="16" t="inlineStr">
        <is>
          <t>FF rear living</t>
        </is>
      </c>
    </row>
    <row r="22">
      <c r="A22" s="16" t="inlineStr">
        <is>
          <t>AB-L2-R16</t>
        </is>
      </c>
      <c r="B22" s="16" t="inlineStr">
        <is>
          <t>A/B</t>
        </is>
      </c>
      <c r="C22" s="16" t="inlineStr">
        <is>
          <t>FF</t>
        </is>
      </c>
      <c r="D22" s="16" t="inlineStr">
        <is>
          <t>Rear</t>
        </is>
      </c>
      <c r="E22" s="16" t="inlineStr">
        <is>
          <t>window</t>
        </is>
      </c>
      <c r="F22" s="16" t="n">
        <v>1010</v>
      </c>
      <c r="G22" s="16" t="n">
        <v>1300</v>
      </c>
      <c r="H22" s="16" t="n">
        <v>3650</v>
      </c>
      <c r="I22" s="16" t="n">
        <v>4950</v>
      </c>
      <c r="J22" s="16" t="inlineStr">
        <is>
          <t>6in XR35 (355.6)</t>
        </is>
      </c>
      <c r="K22" s="16" t="inlineStr">
        <is>
          <t>FF rear hall/bedroom</t>
        </is>
      </c>
    </row>
    <row r="23">
      <c r="A23" s="16" t="inlineStr">
        <is>
          <t>AB-L2-R17</t>
        </is>
      </c>
      <c r="B23" s="16" t="inlineStr">
        <is>
          <t>A/B</t>
        </is>
      </c>
      <c r="C23" s="16" t="inlineStr">
        <is>
          <t>FF</t>
        </is>
      </c>
      <c r="D23" s="16" t="inlineStr">
        <is>
          <t>Rear</t>
        </is>
      </c>
      <c r="E23" s="16" t="inlineStr">
        <is>
          <t>window</t>
        </is>
      </c>
      <c r="F23" s="16" t="n">
        <v>1580</v>
      </c>
      <c r="G23" s="16" t="n">
        <v>1300</v>
      </c>
      <c r="H23" s="16" t="n">
        <v>3650</v>
      </c>
      <c r="I23" s="16" t="n">
        <v>4950</v>
      </c>
      <c r="J23" s="16" t="inlineStr">
        <is>
          <t>6in XR35 (355.6)</t>
        </is>
      </c>
      <c r="K23" s="16" t="inlineStr">
        <is>
          <t>FF bedroom</t>
        </is>
      </c>
    </row>
    <row r="24">
      <c r="A24" s="16" t="inlineStr">
        <is>
          <t>AB-L2-G18</t>
        </is>
      </c>
      <c r="B24" s="16" t="inlineStr">
        <is>
          <t>A/B</t>
        </is>
      </c>
      <c r="C24" s="16" t="inlineStr">
        <is>
          <t>FF</t>
        </is>
      </c>
      <c r="D24" s="16" t="inlineStr">
        <is>
          <t>Gable</t>
        </is>
      </c>
      <c r="E24" s="16" t="inlineStr">
        <is>
          <t>window</t>
        </is>
      </c>
      <c r="F24" s="16" t="n">
        <v>720</v>
      </c>
      <c r="G24" s="16" t="n">
        <v>1300</v>
      </c>
      <c r="H24" s="16" t="n">
        <v>3650</v>
      </c>
      <c r="I24" s="16" t="n">
        <v>4950</v>
      </c>
      <c r="J24" s="16" t="inlineStr">
        <is>
          <t>6in XR35 (355.6)</t>
        </is>
      </c>
      <c r="K24" s="16" t="inlineStr">
        <is>
          <t>FF gable window, living</t>
        </is>
      </c>
    </row>
    <row r="25">
      <c r="A25" s="16" t="inlineStr">
        <is>
          <t>CD-L1-F01</t>
        </is>
      </c>
      <c r="B25" s="16" t="inlineStr">
        <is>
          <t>C/D</t>
        </is>
      </c>
      <c r="C25" s="16" t="inlineStr">
        <is>
          <t>GF</t>
        </is>
      </c>
      <c r="D25" s="16" t="inlineStr">
        <is>
          <t>Front</t>
        </is>
      </c>
      <c r="E25" s="16" t="inlineStr">
        <is>
          <t>window</t>
        </is>
      </c>
      <c r="F25" s="16" t="n">
        <v>1570</v>
      </c>
      <c r="G25" s="16" t="n">
        <v>1000</v>
      </c>
      <c r="H25" s="16" t="n">
        <v>1100</v>
      </c>
      <c r="I25" s="16" t="n">
        <v>2100</v>
      </c>
      <c r="J25" s="16" t="inlineStr">
        <is>
          <t>6in XR35 (355.6)</t>
        </is>
      </c>
      <c r="K25" s="16" t="inlineStr">
        <is>
          <t>GF kitchen (WG02)</t>
        </is>
      </c>
    </row>
    <row r="26">
      <c r="A26" s="16" t="inlineStr">
        <is>
          <t>CD-L1-F02</t>
        </is>
      </c>
      <c r="B26" s="16" t="inlineStr">
        <is>
          <t>C/D</t>
        </is>
      </c>
      <c r="C26" s="16" t="inlineStr">
        <is>
          <t>GF</t>
        </is>
      </c>
      <c r="D26" s="16" t="inlineStr">
        <is>
          <t>Front</t>
        </is>
      </c>
      <c r="E26" s="16" t="inlineStr">
        <is>
          <t>window</t>
        </is>
      </c>
      <c r="F26" s="16" t="n">
        <v>740</v>
      </c>
      <c r="G26" s="16" t="n">
        <v>1000</v>
      </c>
      <c r="H26" s="16" t="n">
        <v>1100</v>
      </c>
      <c r="I26" s="16" t="n">
        <v>2100</v>
      </c>
      <c r="J26" s="16" t="inlineStr">
        <is>
          <t>6in XR35 (355.6)</t>
        </is>
      </c>
      <c r="K26" s="16" t="inlineStr">
        <is>
          <t>GF bathroom</t>
        </is>
      </c>
    </row>
    <row r="27">
      <c r="A27" s="16" t="inlineStr">
        <is>
          <t>CD-L1-F03</t>
        </is>
      </c>
      <c r="B27" s="16" t="inlineStr">
        <is>
          <t>C/D</t>
        </is>
      </c>
      <c r="C27" s="16" t="inlineStr">
        <is>
          <t>GF</t>
        </is>
      </c>
      <c r="D27" s="16" t="inlineStr">
        <is>
          <t>Front</t>
        </is>
      </c>
      <c r="E27" s="16" t="inlineStr">
        <is>
          <t>door</t>
        </is>
      </c>
      <c r="F27" s="16" t="n">
        <v>1040</v>
      </c>
      <c r="G27" s="16" t="n">
        <v>2100</v>
      </c>
      <c r="H27" s="16" t="n">
        <v>0</v>
      </c>
      <c r="I27" s="16" t="n">
        <v>2100</v>
      </c>
      <c r="J27" s="16" t="inlineStr">
        <is>
          <t>6in XR35 (355.6)</t>
        </is>
      </c>
      <c r="K27" s="16" t="inlineStr">
        <is>
          <t>GF flat entrance door (XD02)</t>
        </is>
      </c>
    </row>
    <row r="28">
      <c r="A28" s="16" t="inlineStr">
        <is>
          <t>CD-L1-LF04</t>
        </is>
      </c>
      <c r="B28" s="16" t="inlineStr">
        <is>
          <t>C/D</t>
        </is>
      </c>
      <c r="C28" s="16" t="inlineStr">
        <is>
          <t>GF</t>
        </is>
      </c>
      <c r="D28" s="16" t="inlineStr">
        <is>
          <t>Stair-lobby front</t>
        </is>
      </c>
      <c r="E28" s="16" t="inlineStr">
        <is>
          <t>door</t>
        </is>
      </c>
      <c r="F28" s="16" t="n">
        <v>1040</v>
      </c>
      <c r="G28" s="16" t="n">
        <v>2100</v>
      </c>
      <c r="H28" s="16" t="n">
        <v>0</v>
      </c>
      <c r="I28" s="16" t="n">
        <v>2100</v>
      </c>
      <c r="J28" s="16" t="inlineStr">
        <is>
          <t>6in XR35 (355.6)</t>
        </is>
      </c>
      <c r="K28" s="16" t="inlineStr">
        <is>
          <t>FF flat entrance door, stair lobby (WG01)</t>
        </is>
      </c>
    </row>
    <row r="29">
      <c r="A29" s="16" t="inlineStr">
        <is>
          <t>CD-L1-LS05</t>
        </is>
      </c>
      <c r="B29" s="16" t="inlineStr">
        <is>
          <t>C/D</t>
        </is>
      </c>
      <c r="C29" s="16" t="inlineStr">
        <is>
          <t>GF</t>
        </is>
      </c>
      <c r="D29" s="16" t="inlineStr">
        <is>
          <t>Stair-lobby side</t>
        </is>
      </c>
      <c r="E29" s="16" t="inlineStr">
        <is>
          <t>window</t>
        </is>
      </c>
      <c r="F29" s="16" t="n">
        <v>710</v>
      </c>
      <c r="G29" s="16" t="n">
        <v>1300</v>
      </c>
      <c r="H29" s="16" t="n">
        <v>800</v>
      </c>
      <c r="I29" s="16" t="n">
        <v>2100</v>
      </c>
      <c r="J29" s="16" t="inlineStr">
        <is>
          <t>6in XR35 (355.6)</t>
        </is>
      </c>
      <c r="K29" s="16" t="inlineStr">
        <is>
          <t>stair lobby side window (site side elevation: as WG03)</t>
        </is>
      </c>
    </row>
    <row r="30">
      <c r="A30" s="16" t="inlineStr">
        <is>
          <t>CD-L1-WC06</t>
        </is>
      </c>
      <c r="B30" s="16" t="inlineStr">
        <is>
          <t>C/D</t>
        </is>
      </c>
      <c r="C30" s="16" t="inlineStr">
        <is>
          <t>GF</t>
        </is>
      </c>
      <c r="D30" s="16" t="inlineStr">
        <is>
          <t>Internal stair wall W_c</t>
        </is>
      </c>
      <c r="E30" s="16" t="inlineStr">
        <is>
          <t>door</t>
        </is>
      </c>
      <c r="F30" s="16" t="n">
        <v>900</v>
      </c>
      <c r="G30" s="16" t="n">
        <v>2100</v>
      </c>
      <c r="H30" s="16" t="n">
        <v>0</v>
      </c>
      <c r="I30" s="16" t="n">
        <v>2100</v>
      </c>
      <c r="J30" s="16" t="inlineStr">
        <is>
          <t>6in Std (285.75) - stair enclosure</t>
        </is>
      </c>
      <c r="K30" s="16" t="inlineStr">
        <is>
          <t>GF under-stair store door (6in Std stair wall)</t>
        </is>
      </c>
    </row>
    <row r="31">
      <c r="A31" s="16" t="inlineStr">
        <is>
          <t>CD-L1-R07</t>
        </is>
      </c>
      <c r="B31" s="16" t="inlineStr">
        <is>
          <t>C/D</t>
        </is>
      </c>
      <c r="C31" s="16" t="inlineStr">
        <is>
          <t>GF</t>
        </is>
      </c>
      <c r="D31" s="16" t="inlineStr">
        <is>
          <t>Rear</t>
        </is>
      </c>
      <c r="E31" s="16" t="inlineStr">
        <is>
          <t>door</t>
        </is>
      </c>
      <c r="F31" s="16" t="n">
        <v>1040</v>
      </c>
      <c r="G31" s="16" t="n">
        <v>2100</v>
      </c>
      <c r="H31" s="16" t="n">
        <v>0</v>
      </c>
      <c r="I31" s="16" t="n">
        <v>2100</v>
      </c>
      <c r="J31" s="16" t="inlineStr">
        <is>
          <t>6in XR35 (355.6)</t>
        </is>
      </c>
      <c r="K31" s="16" t="inlineStr">
        <is>
          <t>GF rear door, living/kitchen</t>
        </is>
      </c>
    </row>
    <row r="32">
      <c r="A32" s="16" t="inlineStr">
        <is>
          <t>CD-L1-R08</t>
        </is>
      </c>
      <c r="B32" s="16" t="inlineStr">
        <is>
          <t>C/D</t>
        </is>
      </c>
      <c r="C32" s="16" t="inlineStr">
        <is>
          <t>GF</t>
        </is>
      </c>
      <c r="D32" s="16" t="inlineStr">
        <is>
          <t>Rear</t>
        </is>
      </c>
      <c r="E32" s="16" t="inlineStr">
        <is>
          <t>window</t>
        </is>
      </c>
      <c r="F32" s="16" t="n">
        <v>1010</v>
      </c>
      <c r="G32" s="16" t="n">
        <v>1300</v>
      </c>
      <c r="H32" s="16" t="n">
        <v>800</v>
      </c>
      <c r="I32" s="16" t="n">
        <v>2100</v>
      </c>
      <c r="J32" s="16" t="inlineStr">
        <is>
          <t>6in XR35 (355.6)</t>
        </is>
      </c>
      <c r="K32" s="16" t="inlineStr">
        <is>
          <t>GF rear window, hall/bedroom</t>
        </is>
      </c>
    </row>
    <row r="33">
      <c r="A33" s="16" t="inlineStr">
        <is>
          <t>CD-L1-R09</t>
        </is>
      </c>
      <c r="B33" s="16" t="inlineStr">
        <is>
          <t>C/D</t>
        </is>
      </c>
      <c r="C33" s="16" t="inlineStr">
        <is>
          <t>GF</t>
        </is>
      </c>
      <c r="D33" s="16" t="inlineStr">
        <is>
          <t>Rear</t>
        </is>
      </c>
      <c r="E33" s="16" t="inlineStr">
        <is>
          <t>window</t>
        </is>
      </c>
      <c r="F33" s="16" t="n">
        <v>1580</v>
      </c>
      <c r="G33" s="16" t="n">
        <v>1300</v>
      </c>
      <c r="H33" s="16" t="n">
        <v>800</v>
      </c>
      <c r="I33" s="16" t="n">
        <v>2100</v>
      </c>
      <c r="J33" s="16" t="inlineStr">
        <is>
          <t>6in XR35 (355.6)</t>
        </is>
      </c>
      <c r="K33" s="16" t="inlineStr">
        <is>
          <t>GF bedroom window</t>
        </is>
      </c>
    </row>
    <row r="34">
      <c r="A34" s="16" t="inlineStr">
        <is>
          <t>CD-L1-G10</t>
        </is>
      </c>
      <c r="B34" s="16" t="inlineStr">
        <is>
          <t>C/D</t>
        </is>
      </c>
      <c r="C34" s="16" t="inlineStr">
        <is>
          <t>GF</t>
        </is>
      </c>
      <c r="D34" s="16" t="inlineStr">
        <is>
          <t>Gable</t>
        </is>
      </c>
      <c r="E34" s="16" t="inlineStr">
        <is>
          <t>window</t>
        </is>
      </c>
      <c r="F34" s="16" t="n">
        <v>730</v>
      </c>
      <c r="G34" s="16" t="n">
        <v>1300</v>
      </c>
      <c r="H34" s="16" t="n">
        <v>800</v>
      </c>
      <c r="I34" s="16" t="n">
        <v>2100</v>
      </c>
      <c r="J34" s="16" t="inlineStr">
        <is>
          <t>6in XR35 (355.6)</t>
        </is>
      </c>
      <c r="K34" s="16" t="inlineStr">
        <is>
          <t>GF gable window, living (WG03)</t>
        </is>
      </c>
    </row>
    <row r="35">
      <c r="A35" s="16" t="inlineStr">
        <is>
          <t>CD-L2-F11</t>
        </is>
      </c>
      <c r="B35" s="16" t="inlineStr">
        <is>
          <t>C/D</t>
        </is>
      </c>
      <c r="C35" s="16" t="inlineStr">
        <is>
          <t>FF</t>
        </is>
      </c>
      <c r="D35" s="16" t="inlineStr">
        <is>
          <t>Front</t>
        </is>
      </c>
      <c r="E35" s="16" t="inlineStr">
        <is>
          <t>window</t>
        </is>
      </c>
      <c r="F35" s="16" t="n">
        <v>1570</v>
      </c>
      <c r="G35" s="16" t="n">
        <v>1000</v>
      </c>
      <c r="H35" s="16" t="n">
        <v>3950</v>
      </c>
      <c r="I35" s="16" t="n">
        <v>4950</v>
      </c>
      <c r="J35" s="16" t="inlineStr">
        <is>
          <t>6in XR35 (355.6)</t>
        </is>
      </c>
      <c r="K35" s="16" t="inlineStr">
        <is>
          <t>FF kitchen</t>
        </is>
      </c>
    </row>
    <row r="36">
      <c r="A36" s="16" t="inlineStr">
        <is>
          <t>CD-L2-F12</t>
        </is>
      </c>
      <c r="B36" s="16" t="inlineStr">
        <is>
          <t>C/D</t>
        </is>
      </c>
      <c r="C36" s="16" t="inlineStr">
        <is>
          <t>FF</t>
        </is>
      </c>
      <c r="D36" s="16" t="inlineStr">
        <is>
          <t>Front</t>
        </is>
      </c>
      <c r="E36" s="16" t="inlineStr">
        <is>
          <t>window</t>
        </is>
      </c>
      <c r="F36" s="16" t="n">
        <v>740</v>
      </c>
      <c r="G36" s="16" t="n">
        <v>1000</v>
      </c>
      <c r="H36" s="16" t="n">
        <v>3950</v>
      </c>
      <c r="I36" s="16" t="n">
        <v>4950</v>
      </c>
      <c r="J36" s="16" t="inlineStr">
        <is>
          <t>6in XR35 (355.6)</t>
        </is>
      </c>
      <c r="K36" s="16" t="inlineStr">
        <is>
          <t>FF bathroom</t>
        </is>
      </c>
    </row>
    <row r="37">
      <c r="A37" s="16" t="inlineStr">
        <is>
          <t>CD-L2-F13</t>
        </is>
      </c>
      <c r="B37" s="16" t="inlineStr">
        <is>
          <t>C/D</t>
        </is>
      </c>
      <c r="C37" s="16" t="inlineStr">
        <is>
          <t>FF</t>
        </is>
      </c>
      <c r="D37" s="16" t="inlineStr">
        <is>
          <t>Front</t>
        </is>
      </c>
      <c r="E37" s="16" t="inlineStr">
        <is>
          <t>window</t>
        </is>
      </c>
      <c r="F37" s="16" t="n">
        <v>760</v>
      </c>
      <c r="G37" s="16" t="n">
        <v>1000</v>
      </c>
      <c r="H37" s="16" t="n">
        <v>3950</v>
      </c>
      <c r="I37" s="16" t="n">
        <v>4950</v>
      </c>
      <c r="J37" s="16" t="inlineStr">
        <is>
          <t>6in XR35 (355.6)</t>
        </is>
      </c>
      <c r="K37" s="16" t="inlineStr">
        <is>
          <t>FF A/C laundry</t>
        </is>
      </c>
    </row>
    <row r="38">
      <c r="A38" s="16" t="inlineStr">
        <is>
          <t>CD-L2-F14</t>
        </is>
      </c>
      <c r="B38" s="16" t="inlineStr">
        <is>
          <t>C/D</t>
        </is>
      </c>
      <c r="C38" s="16" t="inlineStr">
        <is>
          <t>FF</t>
        </is>
      </c>
      <c r="D38" s="16" t="inlineStr">
        <is>
          <t>Front</t>
        </is>
      </c>
      <c r="E38" s="16" t="inlineStr">
        <is>
          <t>window</t>
        </is>
      </c>
      <c r="F38" s="16" t="n">
        <v>770</v>
      </c>
      <c r="G38" s="16" t="n">
        <v>1000</v>
      </c>
      <c r="H38" s="16" t="n">
        <v>3950</v>
      </c>
      <c r="I38" s="16" t="n">
        <v>4950</v>
      </c>
      <c r="J38" s="16" t="inlineStr">
        <is>
          <t>6in XR35 (355.6)</t>
        </is>
      </c>
      <c r="K38" s="16" t="inlineStr">
        <is>
          <t>FF stair</t>
        </is>
      </c>
    </row>
    <row r="39">
      <c r="A39" s="16" t="inlineStr">
        <is>
          <t>CD-L2-R15</t>
        </is>
      </c>
      <c r="B39" s="16" t="inlineStr">
        <is>
          <t>C/D</t>
        </is>
      </c>
      <c r="C39" s="16" t="inlineStr">
        <is>
          <t>FF</t>
        </is>
      </c>
      <c r="D39" s="16" t="inlineStr">
        <is>
          <t>Rear</t>
        </is>
      </c>
      <c r="E39" s="16" t="inlineStr">
        <is>
          <t>window</t>
        </is>
      </c>
      <c r="F39" s="16" t="n">
        <v>750</v>
      </c>
      <c r="G39" s="16" t="n">
        <v>1300</v>
      </c>
      <c r="H39" s="16" t="n">
        <v>3650</v>
      </c>
      <c r="I39" s="16" t="n">
        <v>4950</v>
      </c>
      <c r="J39" s="16" t="inlineStr">
        <is>
          <t>6in XR35 (355.6)</t>
        </is>
      </c>
      <c r="K39" s="16" t="inlineStr">
        <is>
          <t>FF rear living</t>
        </is>
      </c>
    </row>
    <row r="40">
      <c r="A40" s="16" t="inlineStr">
        <is>
          <t>CD-L2-R16</t>
        </is>
      </c>
      <c r="B40" s="16" t="inlineStr">
        <is>
          <t>C/D</t>
        </is>
      </c>
      <c r="C40" s="16" t="inlineStr">
        <is>
          <t>FF</t>
        </is>
      </c>
      <c r="D40" s="16" t="inlineStr">
        <is>
          <t>Rear</t>
        </is>
      </c>
      <c r="E40" s="16" t="inlineStr">
        <is>
          <t>window</t>
        </is>
      </c>
      <c r="F40" s="16" t="n">
        <v>1010</v>
      </c>
      <c r="G40" s="16" t="n">
        <v>1300</v>
      </c>
      <c r="H40" s="16" t="n">
        <v>3650</v>
      </c>
      <c r="I40" s="16" t="n">
        <v>4950</v>
      </c>
      <c r="J40" s="16" t="inlineStr">
        <is>
          <t>6in XR35 (355.6)</t>
        </is>
      </c>
      <c r="K40" s="16" t="inlineStr">
        <is>
          <t>FF rear hall/bedroom</t>
        </is>
      </c>
    </row>
    <row r="41">
      <c r="A41" s="16" t="inlineStr">
        <is>
          <t>CD-L2-R17</t>
        </is>
      </c>
      <c r="B41" s="16" t="inlineStr">
        <is>
          <t>C/D</t>
        </is>
      </c>
      <c r="C41" s="16" t="inlineStr">
        <is>
          <t>FF</t>
        </is>
      </c>
      <c r="D41" s="16" t="inlineStr">
        <is>
          <t>Rear</t>
        </is>
      </c>
      <c r="E41" s="16" t="inlineStr">
        <is>
          <t>window</t>
        </is>
      </c>
      <c r="F41" s="16" t="n">
        <v>1580</v>
      </c>
      <c r="G41" s="16" t="n">
        <v>1300</v>
      </c>
      <c r="H41" s="16" t="n">
        <v>3650</v>
      </c>
      <c r="I41" s="16" t="n">
        <v>4950</v>
      </c>
      <c r="J41" s="16" t="inlineStr">
        <is>
          <t>6in XR35 (355.6)</t>
        </is>
      </c>
      <c r="K41" s="16" t="inlineStr">
        <is>
          <t>FF bedroom</t>
        </is>
      </c>
    </row>
    <row r="42">
      <c r="A42" s="16" t="inlineStr">
        <is>
          <t>CD-L2-G18</t>
        </is>
      </c>
      <c r="B42" s="16" t="inlineStr">
        <is>
          <t>C/D</t>
        </is>
      </c>
      <c r="C42" s="16" t="inlineStr">
        <is>
          <t>FF</t>
        </is>
      </c>
      <c r="D42" s="16" t="inlineStr">
        <is>
          <t>Gable</t>
        </is>
      </c>
      <c r="E42" s="16" t="inlineStr">
        <is>
          <t>window</t>
        </is>
      </c>
      <c r="F42" s="16" t="n">
        <v>720</v>
      </c>
      <c r="G42" s="16" t="n">
        <v>1300</v>
      </c>
      <c r="H42" s="16" t="n">
        <v>3650</v>
      </c>
      <c r="I42" s="16" t="n">
        <v>4950</v>
      </c>
      <c r="J42" s="16" t="inlineStr">
        <is>
          <t>6in XR35 (355.6)</t>
        </is>
      </c>
      <c r="K42" s="16" t="inlineStr">
        <is>
          <t>FF gable window, living</t>
        </is>
      </c>
    </row>
    <row r="44">
      <c r="A44" s="51">
        <f>CONCATENATE("Windows: ",COUNTIF(E7:E42,"window"),"   Doors: ",COUNTIF(E7:E42,"door"))</f>
        <v/>
      </c>
    </row>
  </sheetData>
  <sheetProtection selectLockedCells="0" selectUnlockedCells="0" sheet="1" objects="0" insertRows="1" insertHyperlinks="1" autoFilter="1" scenarios="0" formatColumns="0" deleteColumns="1" insertColumns="1" pivotTables="1" deleteRows="1" formatCells="1" formatRows="0" sort="1"/>
  <mergeCells count="3">
    <mergeCell ref="C2:K2"/>
    <mergeCell ref="C1:K1"/>
    <mergeCell ref="A4:K4"/>
  </mergeCells>
  <printOptions horizontalCentered="1"/>
  <pageMargins left="0.75" right="0.75" top="0.7" bottom="0.75" header="0.5" footer="0.5"/>
  <pageSetup orientation="landscape" paperSize="9" fitToHeight="0" fitToWidth="1"/>
  <headerFooter>
    <oddHeader>&amp;L&amp;8 BuildEase  |  ES26-081 Lon Eilian, Caernarfon  |  Beech Developments&amp;R&amp;8 Bill of Quantities Package - Ancillary Trades - Issue 01</oddHeader>
    <oddFooter>&amp;L&amp;7 &amp;KC98A1BSupplied in good faith for guidance only. NOT part of the Nudura ICF price. Check and verify with the appropriate professional before use. No waste unless stated.&amp;R&amp;8 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2026-10-19T09:38:19Z</dcterms:created>
  <dcterms:modified xmlns:dcterms="http://purl.org/dc/terms/" xmlns:xsi="http://www.w3.org/2001/XMLSchema-instance" xsi:type="dcterms:W3CDTF">2026-10-19T09:38:19Z</dcterms:modified>
</cp:coreProperties>
</file>